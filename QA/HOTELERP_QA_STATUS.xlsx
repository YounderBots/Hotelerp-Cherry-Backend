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ule Status" sheetId="2" state="visible" r:id="rId2"/>
    <sheet name="Menu &amp; Submenu Status" sheetId="3" state="visible" r:id="rId3"/>
    <sheet name="Role Access Matrix" sheetId="4" state="visible" r:id="rId4"/>
    <sheet name="Findings" sheetId="5" state="visible" r:id="rId5"/>
    <sheet name="Pending &amp; Blocked" sheetId="6" state="visible" r:id="rId6"/>
    <sheet name="Go-Live Flow" sheetId="7" state="visible" r:id="rId7"/>
    <sheet name="Test Evidence" sheetId="8" state="visible" r:id="rId8"/>
  </sheets>
  <definedNames>
    <definedName name="_xlnm._FilterDatabase" localSheetId="2" hidden="1">'Menu &amp; Submenu Status'!$A$4:$Q$64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16E7C"/>
      <sz val="9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b val="1"/>
      <color rgb="007A4A00"/>
      <sz val="10"/>
    </font>
    <font>
      <name val="Arial"/>
      <b val="1"/>
      <color rgb="0014532D"/>
      <sz val="10"/>
    </font>
    <font>
      <name val="Arial"/>
      <color rgb="00616E7C"/>
      <sz val="9"/>
    </font>
    <font>
      <name val="Arial"/>
      <color rgb="001F2933"/>
      <sz val="9"/>
    </font>
    <font>
      <name val="Arial"/>
      <b val="1"/>
      <color rgb="0014532D"/>
      <sz val="9"/>
    </font>
    <font>
      <name val="Arial"/>
      <b val="1"/>
      <color rgb="007A4A00"/>
      <sz val="9"/>
    </font>
    <font>
      <name val="Arial"/>
      <b val="1"/>
      <color rgb="003F4A56"/>
      <sz val="9"/>
    </font>
    <font>
      <name val="Arial"/>
      <color rgb="00FFFFFF"/>
      <sz val="9"/>
    </font>
    <font>
      <name val="Arial"/>
      <b val="1"/>
      <color rgb="007F1D1D"/>
      <sz val="10"/>
    </font>
    <font>
      <name val="Arial"/>
      <b val="1"/>
      <color rgb="001E3A5F"/>
      <sz val="10"/>
    </font>
    <font>
      <name val="Arial"/>
      <b val="1"/>
      <color rgb="003F4A56"/>
      <sz val="10"/>
    </font>
    <font>
      <name val="Arial"/>
      <color rgb="001F3864"/>
      <sz val="9"/>
    </font>
    <font>
      <name val="Arial"/>
      <color rgb="00616E7C"/>
      <sz val="10"/>
    </font>
    <font>
      <name val="Arial"/>
      <b val="1"/>
      <color rgb="00FFFFFF"/>
      <sz val="12"/>
    </font>
    <font>
      <name val="Arial"/>
      <b val="1"/>
      <color rgb="001F3864"/>
      <sz val="11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DF0D5"/>
      </patternFill>
    </fill>
    <fill>
      <patternFill patternType="solid">
        <fgColor rgb="00F4F6F8"/>
      </patternFill>
    </fill>
    <fill>
      <patternFill patternType="solid">
        <fgColor rgb="00DCF0E0"/>
      </patternFill>
    </fill>
    <fill>
      <patternFill patternType="solid">
        <fgColor rgb="00EDEFF2"/>
      </patternFill>
    </fill>
    <fill>
      <patternFill patternType="solid">
        <fgColor rgb="00FBDDDD"/>
      </patternFill>
    </fill>
    <fill>
      <patternFill patternType="solid">
        <fgColor rgb="00DCE8F7"/>
      </patternFill>
    </fill>
  </fills>
  <borders count="6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  <border>
      <left/>
      <right/>
      <top style="thin">
        <color rgb="00D6DCE4"/>
      </top>
      <bottom/>
      <diagonal/>
    </border>
    <border>
      <left/>
      <right style="thin">
        <color rgb="00D6DCE4"/>
      </right>
      <top style="thin">
        <color rgb="00D6DCE4"/>
      </top>
      <bottom/>
      <diagonal/>
    </border>
    <border>
      <left/>
      <right/>
      <top style="thin">
        <color rgb="00D6DCE4"/>
      </top>
      <bottom style="thin">
        <color rgb="00D6DCE4"/>
      </bottom>
      <diagonal/>
    </border>
    <border>
      <left/>
      <right style="thin">
        <color rgb="00D6DCE4"/>
      </right>
      <top style="thin">
        <color rgb="00D6DCE4"/>
      </top>
      <bottom style="thin">
        <color rgb="00D6DCE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vertical="center" inden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left" vertical="top"/>
    </xf>
    <xf numFmtId="0" fontId="6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12" fillId="6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13" fillId="4" borderId="1" applyAlignment="1" pivotButton="0" quotePrefix="0" xfId="0">
      <alignment horizontal="center" vertical="top" wrapText="1"/>
    </xf>
    <xf numFmtId="0" fontId="14" fillId="7" borderId="1" applyAlignment="1" pivotButton="0" quotePrefix="0" xfId="0">
      <alignment horizontal="center" vertical="top" wrapText="1"/>
    </xf>
    <xf numFmtId="0" fontId="15" fillId="2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0" fontId="16" fillId="8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/>
    </xf>
    <xf numFmtId="0" fontId="17" fillId="9" borderId="1" applyAlignment="1" pivotButton="0" quotePrefix="0" xfId="0">
      <alignment horizontal="center" vertical="top" wrapText="1"/>
    </xf>
    <xf numFmtId="0" fontId="18" fillId="7" borderId="1" applyAlignment="1" pivotButton="0" quotePrefix="0" xfId="0">
      <alignment horizontal="center" vertical="top"/>
    </xf>
    <xf numFmtId="0" fontId="7" fillId="2" borderId="1" applyAlignment="1" pivotButton="0" quotePrefix="0" xfId="0">
      <alignment horizontal="left" vertical="top"/>
    </xf>
    <xf numFmtId="0" fontId="7" fillId="2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9" fillId="5" borderId="1" applyAlignment="1" pivotButton="0" quotePrefix="0" xfId="0">
      <alignment horizontal="left" vertical="top" wrapText="1"/>
    </xf>
    <xf numFmtId="0" fontId="20" fillId="7" borderId="1" applyAlignment="1" pivotButton="0" quotePrefix="0" xfId="0">
      <alignment horizontal="center" vertical="top"/>
    </xf>
    <xf numFmtId="0" fontId="21" fillId="2" borderId="1" applyAlignment="1" pivotButton="0" quotePrefix="0" xfId="0">
      <alignment horizontal="center" vertical="top"/>
    </xf>
    <xf numFmtId="0" fontId="22" fillId="0" borderId="1" applyAlignment="1" pivotButton="0" quotePrefix="0" xfId="0">
      <alignment horizontal="center" vertical="top"/>
    </xf>
    <xf numFmtId="0" fontId="22" fillId="5" borderId="1" applyAlignment="1" pivotButton="0" quotePrefix="0" xfId="0">
      <alignment horizontal="center" vertical="top"/>
    </xf>
    <xf numFmtId="0" fontId="16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9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left" vertical="top"/>
    </xf>
    <xf numFmtId="0" fontId="9" fillId="6" borderId="1" applyAlignment="1" pivotButton="0" quotePrefix="0" xfId="0">
      <alignment horizontal="center" vertical="top"/>
    </xf>
    <xf numFmtId="0" fontId="11" fillId="5" borderId="1" applyAlignment="1" pivotButton="0" quotePrefix="0" xfId="0">
      <alignment horizontal="left" vertical="top"/>
    </xf>
    <xf numFmtId="0" fontId="23" fillId="2" borderId="1" applyAlignment="1" pivotButton="0" quotePrefix="0" xfId="0">
      <alignment horizontal="center" vertical="top"/>
    </xf>
    <xf numFmtId="0" fontId="23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MenuStatus" displayName="MenuStatus" ref="A4:Q64" headerRowCount="1">
  <autoFilter ref="A4:Q64"/>
  <tableColumns count="17">
    <tableColumn id="1" name="#"/>
    <tableColumn id="2" name="Kind"/>
    <tableColumn id="3" name="Parent menu"/>
    <tableColumn id="4" name="Label"/>
    <tableColumn id="5" name="Owning module"/>
    <tableColumn id="6" name="Path"/>
    <tableColumn id="7" name="Served by"/>
    <tableColumn id="8" name="Routes"/>
    <tableColumn id="9" name="Roles"/>
    <tableColumn id="10" name="Admin"/>
    <tableColumn id="11" name="F.O. Manager"/>
    <tableColumn id="12" name="Front Desk"/>
    <tableColumn id="13" name="Housekeeping"/>
    <tableColumn id="14" name="F&amp;B"/>
    <tableColumn id="15" name="Reachable"/>
    <tableColumn id="16" name="QA status"/>
    <tableColumn id="17" name="Note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RoleMatrix" displayName="RoleMatrix" ref="A4:H64" headerRowCount="1">
  <autoFilter ref="A4:H64"/>
  <tableColumns count="8">
    <tableColumn id="1" name="#"/>
    <tableColumn id="2" name="Label"/>
    <tableColumn id="3" name="Path"/>
    <tableColumn id="4" name="Admin"/>
    <tableColumn id="5" name="F.O. Manager"/>
    <tableColumn id="6" name="Front Desk"/>
    <tableColumn id="7" name="Housekeeping"/>
    <tableColumn id="8" name="F&amp;B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Findings" displayName="Findings" ref="A4:H20" headerRowCount="1">
  <autoFilter ref="A4:H20"/>
  <tableColumns count="8">
    <tableColumn id="1" name="ID"/>
    <tableColumn id="2" name="Severity"/>
    <tableColumn id="3" name="Finding"/>
    <tableColumn id="4" name="Status"/>
    <tableColumn id="5" name="Where"/>
    <tableColumn id="6" name="Root cause"/>
    <tableColumn id="7" name="Fix"/>
    <tableColumn id="8" name="Evidence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Pending" displayName="Pending" ref="A4:F13" headerRowCount="1">
  <autoFilter ref="A4:F13"/>
  <tableColumns count="6">
    <tableColumn id="1" name="#"/>
    <tableColumn id="2" name="Item"/>
    <tableColumn id="3" name="Why it is still open"/>
    <tableColumn id="4" name="Owner"/>
    <tableColumn id="5" name="Blocks production?"/>
    <tableColumn id="6" name="Exact action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GoLive" displayName="GoLive" ref="A4:E16" headerRowCount="1">
  <autoFilter ref="A4:E16"/>
  <tableColumns count="5">
    <tableColumn id="1" name="Step"/>
    <tableColumn id="2" name="Action"/>
    <tableColumn id="3" name="Why it is in this order"/>
    <tableColumn id="4" name="Command / check"/>
    <tableColumn id="5" name="Owner"/>
  </tableColumns>
  <tableStyleInfo name="TableStyleLight1" showRowStripes="1" showColumnStripes="0"/>
</table>
</file>

<file path=xl/tables/table6.xml><?xml version="1.0" encoding="utf-8"?>
<table xmlns="http://schemas.openxmlformats.org/spreadsheetml/2006/main" id="6" name="Suites" displayName="Suites" ref="A4:F41" headerRowCount="1">
  <autoFilter ref="A4:F41"/>
  <tableColumns count="6">
    <tableColumn id="1" name="Suite"/>
    <tableColumn id="2" name="Runs from"/>
    <tableColumn id="3" name="Kind"/>
    <tableColumn id="4" name="Checks"/>
    <tableColumn id="5" name="What it protects"/>
    <tableColumn id="6" name="Result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 ht="32" customHeight="1">
      <c r="A1" s="1" t="inlineStr">
        <is>
          <t>HotelERP - QA status, module by module</t>
        </is>
      </c>
    </row>
    <row r="2" ht="20" customHeight="1">
      <c r="A2" s="2" t="inlineStr">
        <is>
          <t>Complete menu and submenu coverage, findings, fixes, and the go-live sequence. Every figure is either a formula or traceable to a file in the repository.</t>
        </is>
      </c>
    </row>
    <row r="5" ht="22" customHeight="1">
      <c r="A5" s="3" t="inlineStr">
        <is>
          <t>WHAT WAS DONE</t>
        </is>
      </c>
    </row>
    <row r="6" ht="28" customHeight="1">
      <c r="A6" s="4" t="inlineStr">
        <is>
          <t>Scope</t>
        </is>
      </c>
      <c r="B6" s="5" t="inlineStr">
        <is>
          <t>All 60 pages (3 menus + 57 submenus) across 5 modules, all 5 roles, 6 backend services and the SPA.</t>
        </is>
      </c>
    </row>
    <row r="7" ht="28" customHeight="1">
      <c r="A7" s="4" t="inlineStr">
        <is>
          <t>Live testing</t>
        </is>
      </c>
      <c r="B7" s="5" t="inlineStr">
        <is>
          <t>~2,860 API calls against the staging deployment: 1,728 reads (144 endpoints x 5 roles x 2 surfaces) and 1,010 write probes (159 paths x 5 roles).</t>
        </is>
      </c>
    </row>
    <row r="8" ht="28" customHeight="1">
      <c r="A8" s="4" t="inlineStr">
        <is>
          <t>Live page sweep</t>
        </is>
      </c>
      <c r="B8" s="5" t="inlineStr">
        <is>
          <t>60/60 routes rendered with live data. 0 console errors, 0 failed requests, 0 broken images, 0 layout overflow.</t>
        </is>
      </c>
    </row>
    <row r="9" ht="28" customHeight="1">
      <c r="A9" s="4" t="inlineStr">
        <is>
          <t>Regression</t>
        </is>
      </c>
      <c r="B9" s="5" t="inlineStr">
        <is>
          <t>37 suites, 1,268 pytest assertions plus 73 checks in the 4 script suites, 0 failures. Identical results under ROUTE_POLICY_MODE=audit (the shipped default) and enforce.</t>
        </is>
      </c>
    </row>
    <row r="10" ht="28" customHeight="1">
      <c r="A10" s="4" t="inlineStr">
        <is>
          <t>Lint</t>
        </is>
      </c>
      <c r="B10" s="5" t="inlineStr">
        <is>
          <t>ESLint: 0 errors, 10 warnings (unchanged baseline).</t>
        </is>
      </c>
    </row>
    <row r="12" ht="22" customHeight="1">
      <c r="A12" s="3" t="inlineStr">
        <is>
          <t>HOW TO READ THE STATUS COLUMNS</t>
        </is>
      </c>
    </row>
    <row r="13" ht="28" customHeight="1">
      <c r="A13" s="4" t="inlineStr">
        <is>
          <t>Done / Fixed in source</t>
        </is>
      </c>
      <c r="B13" s="5" t="inlineStr">
        <is>
          <t>A defect was found against this module, the fix is in the working tree, and a test that fails without the fix now passes. NOT yet on the deployment.</t>
        </is>
      </c>
    </row>
    <row r="14" ht="28" customHeight="1">
      <c r="A14" s="4" t="inlineStr">
        <is>
          <t>Needs deploy</t>
        </is>
      </c>
      <c r="B14" s="5" t="inlineStr">
        <is>
          <t>The fix is in the working tree but ships disabled or unactivated. Still live as a finding until it is deployed.</t>
        </is>
      </c>
    </row>
    <row r="15" ht="28" customHeight="1">
      <c r="A15" s="4" t="inlineStr">
        <is>
          <t>No defect found</t>
        </is>
      </c>
      <c r="B15" s="5" t="inlineStr">
        <is>
          <t>Tested, and nothing came up. This is NOT the same claim as 'verified perfect' - it means no test detected a problem, not that none exists.</t>
        </is>
      </c>
    </row>
    <row r="16" ht="28" customHeight="1">
      <c r="A16" s="4" t="inlineStr">
        <is>
          <t>Open</t>
        </is>
      </c>
      <c r="B16" s="5" t="inlineStr">
        <is>
          <t>A real defect that is still present. No fix, or a fix that cannot be made in source.</t>
        </is>
      </c>
    </row>
    <row r="17" ht="28" customHeight="1">
      <c r="A17" s="4" t="inlineStr">
        <is>
          <t>Owner decision</t>
        </is>
      </c>
      <c r="B17" s="5" t="inlineStr">
        <is>
          <t>Deliberately not changed here. The right answer depends on the business, not on the code.</t>
        </is>
      </c>
    </row>
    <row r="19" ht="22" customHeight="1">
      <c r="A19" s="3" t="inlineStr">
        <is>
          <t>THE ONE THING TO KNOW BEFORE TRUSTING IT</t>
        </is>
      </c>
    </row>
    <row r="20" ht="39" customHeight="1">
      <c r="A20" s="4" t="inlineStr">
        <is>
          <t>Not deployed</t>
        </is>
      </c>
      <c r="B20" s="5" t="inlineStr">
        <is>
          <t>The fixes are in the working tree. Nothing is committed or pushed. Every fix is proven by unit tests and by regenerating the permission map byte-identically - NOT by a request against the running system. Step 11 of Go-Live closes that gap.</t>
        </is>
      </c>
    </row>
    <row r="22" ht="22" customHeight="1">
      <c r="A22" s="3" t="inlineStr">
        <is>
          <t>KNOWN LIMITS OF THIS AUDIT</t>
        </is>
      </c>
    </row>
    <row r="23" ht="28" customHeight="1">
      <c r="A23" s="4" t="inlineStr">
        <is>
          <t>Frontend build</t>
        </is>
      </c>
      <c r="B23" s="5" t="inlineStr">
        <is>
          <t>npm run build could not run on the QA machine (@oxc-resolver's win32 binding fails ERR_DLOPEN_FAILED). Frontend changes are verified by ESLint and by Node-level HTTP tests only.</t>
        </is>
      </c>
    </row>
    <row r="24" ht="28" customHeight="1">
      <c r="A24" s="4" t="inlineStr">
        <is>
          <t>Scope of destructive testing</t>
        </is>
      </c>
      <c r="B24" s="5" t="inlineStr">
        <is>
          <t>No DoS, no real payments, emails or SMS, no deletion of business records, no database resets. Write probes used record id 999999999, which cannot exist.</t>
        </is>
      </c>
    </row>
    <row r="25" ht="39" customHeight="1">
      <c r="A25" s="4" t="inlineStr">
        <is>
          <t>One process defect</t>
        </is>
      </c>
      <c r="B25" s="5" t="inlineStr">
        <is>
          <t>An early probe of this audit issued DELETE against real ids expecting a 403. It was not refused, and two rows were deleted (a tax, and Room 601's photos). Both were restored. Recorded in QA/live/FINDINGS.md rather than quietly fixed.</t>
        </is>
      </c>
    </row>
    <row r="26" ht="28" customHeight="1">
      <c r="A26" s="4" t="inlineStr">
        <is>
          <t>Passwords</t>
        </is>
      </c>
      <c r="B26" s="5" t="inlineStr">
        <is>
          <t>No credential appears anywhere in this workbook or in the repository's working tree. The value is supplied at seed time via SEED_PASSWORD.</t>
        </is>
      </c>
    </row>
  </sheetData>
  <mergeCells count="6">
    <mergeCell ref="A2:B2"/>
    <mergeCell ref="A19:B19"/>
    <mergeCell ref="A5:B5"/>
    <mergeCell ref="A1:B1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9" customWidth="1" min="3" max="3"/>
    <col width="10" customWidth="1" min="4" max="4"/>
    <col width="12" customWidth="1" min="5" max="5"/>
    <col width="11" customWidth="1" min="6" max="6"/>
    <col width="34" customWidth="1" min="7" max="7"/>
    <col width="30" customWidth="1" min="8" max="8"/>
  </cols>
  <sheetData>
    <row r="1" ht="32" customHeight="1">
      <c r="A1" s="1" t="inlineStr">
        <is>
          <t>Module status - done, pending, and what is still open</t>
        </is>
      </c>
    </row>
    <row r="2" ht="20" customHeight="1">
      <c r="A2" s="2" t="inlineStr">
        <is>
          <t>One row per module. Page and finding counts are formulas over the 'Menu &amp; Submenu Status' and 'Findings' tabs.</t>
        </is>
      </c>
    </row>
    <row r="4" ht="30" customHeight="1">
      <c r="A4" s="6" t="inlineStr">
        <is>
          <t>Module</t>
        </is>
      </c>
      <c r="B4" s="6" t="inlineStr">
        <is>
          <t>Owning service</t>
        </is>
      </c>
      <c r="C4" s="6" t="inlineStr">
        <is>
          <t>Pages</t>
        </is>
      </c>
      <c r="D4" s="6" t="inlineStr">
        <is>
          <t>Routes</t>
        </is>
      </c>
      <c r="E4" s="6" t="inlineStr">
        <is>
          <t>Test suites</t>
        </is>
      </c>
      <c r="F4" s="6" t="inlineStr">
        <is>
          <t>Checks</t>
        </is>
      </c>
      <c r="G4" s="6" t="inlineStr">
        <is>
          <t>Findings</t>
        </is>
      </c>
      <c r="H4" s="6" t="inlineStr">
        <is>
          <t>Status</t>
        </is>
      </c>
    </row>
    <row r="5" ht="34" customHeight="1">
      <c r="A5" s="7" t="inlineStr">
        <is>
          <t>Hotel / Reservations</t>
        </is>
      </c>
      <c r="B5" s="8" t="inlineStr">
        <is>
          <t>HotelServices :9005</t>
        </is>
      </c>
      <c r="C5" s="9">
        <f>COUNTIF('Menu &amp; Submenu Status'!$E$5:$E$64,"*"&amp;A5&amp;"*")</f>
        <v/>
      </c>
      <c r="D5" s="9">
        <f>SUMPRODUCT(--ISNUMBER(SEARCH(A5,'Menu &amp; Submenu Status'!$E$5:$E$64)),'Menu &amp; Submenu Status'!$H$5:$H$64)</f>
        <v/>
      </c>
      <c r="E5" s="9">
        <f>COUNTIF($A$16:$A$52,A5)</f>
        <v/>
      </c>
      <c r="F5" s="9">
        <f>SUMIF($A$16:$A$52,A5,$C$16:$C$52)</f>
        <v/>
      </c>
      <c r="G5" s="5" t="inlineStr">
        <is>
          <t>QA-BIZ-001 Fixed in source; QA-BIZ-002 Fixed in source; QA-SEC-006 Owner decision; QA-SEC-009 Open (module-wide)</t>
        </is>
      </c>
      <c r="H5" s="10" t="inlineStr">
        <is>
          <t>Needs deploy</t>
        </is>
      </c>
    </row>
    <row r="6" ht="34" customHeight="1">
      <c r="A6" s="11" t="inlineStr">
        <is>
          <t>Master Data</t>
        </is>
      </c>
      <c r="B6" s="12" t="inlineStr">
        <is>
          <t>MasterDataServices :9015</t>
        </is>
      </c>
      <c r="C6" s="13">
        <f>COUNTIF('Menu &amp; Submenu Status'!$E$5:$E$64,"*"&amp;A6&amp;"*")</f>
        <v/>
      </c>
      <c r="D6" s="13">
        <f>SUMPRODUCT(--ISNUMBER(SEARCH(A6,'Menu &amp; Submenu Status'!$E$5:$E$64)),'Menu &amp; Submenu Status'!$H$5:$H$64)</f>
        <v/>
      </c>
      <c r="E6" s="13">
        <f>COUNTIF($A$16:$A$52,A6)</f>
        <v/>
      </c>
      <c r="F6" s="13">
        <f>SUMIF($A$16:$A$52,A6,$C$16:$C$52)</f>
        <v/>
      </c>
      <c r="G6" s="14" t="inlineStr">
        <is>
          <t>QA-SEC-002 Fixed in source (module-wide); QA-SEC-007 Fixed in source (module-wide)</t>
        </is>
      </c>
      <c r="H6" s="15" t="inlineStr">
        <is>
          <t>Fixed in source</t>
        </is>
      </c>
    </row>
    <row r="7" ht="34" customHeight="1">
      <c r="A7" s="7" t="inlineStr">
        <is>
          <t>Restaurant (F&amp;B)</t>
        </is>
      </c>
      <c r="B7" s="8" t="inlineStr">
        <is>
          <t>RestaurantServices :9030</t>
        </is>
      </c>
      <c r="C7" s="9">
        <f>COUNTIF('Menu &amp; Submenu Status'!$E$5:$E$64,"*"&amp;A7&amp;"*")</f>
        <v/>
      </c>
      <c r="D7" s="9">
        <f>SUMPRODUCT(--ISNUMBER(SEARCH(A7,'Menu &amp; Submenu Status'!$E$5:$E$64)),'Menu &amp; Submenu Status'!$H$5:$H$64)</f>
        <v/>
      </c>
      <c r="E7" s="9">
        <f>COUNTIF($A$16:$A$52,A7)</f>
        <v/>
      </c>
      <c r="F7" s="9">
        <f>SUMIF($A$16:$A$52,A7,$C$16:$C$52)</f>
        <v/>
      </c>
      <c r="G7" s="5" t="inlineStr">
        <is>
          <t>QA-SEC-002 Fixed in source (module-wide); QA-BIZ-003 Pass</t>
        </is>
      </c>
      <c r="H7" s="15" t="inlineStr">
        <is>
          <t>Fixed in source</t>
        </is>
      </c>
    </row>
    <row r="8" ht="34" customHeight="1">
      <c r="A8" s="11" t="inlineStr">
        <is>
          <t>Bar</t>
        </is>
      </c>
      <c r="B8" s="12" t="inlineStr">
        <is>
          <t>BarServices :9025</t>
        </is>
      </c>
      <c r="C8" s="13">
        <f>COUNTIF('Menu &amp; Submenu Status'!$E$5:$E$64,"*"&amp;A8&amp;"*")</f>
        <v/>
      </c>
      <c r="D8" s="13">
        <f>SUMPRODUCT(--ISNUMBER(SEARCH(A8,'Menu &amp; Submenu Status'!$E$5:$E$64)),'Menu &amp; Submenu Status'!$H$5:$H$64)</f>
        <v/>
      </c>
      <c r="E8" s="13">
        <f>COUNTIF($A$16:$A$52,A8)</f>
        <v/>
      </c>
      <c r="F8" s="13">
        <f>SUMIF($A$16:$A$52,A8,$C$16:$C$52)</f>
        <v/>
      </c>
      <c r="G8" s="14" t="inlineStr">
        <is>
          <t>QA-SEC-002 Fixed in source (module-wide); QA-BIZ-003 Pass</t>
        </is>
      </c>
      <c r="H8" s="15" t="inlineStr">
        <is>
          <t>Fixed in source</t>
        </is>
      </c>
    </row>
    <row r="9" ht="34" customHeight="1">
      <c r="A9" s="7" t="inlineStr">
        <is>
          <t>HRM / Users</t>
        </is>
      </c>
      <c r="B9" s="8" t="inlineStr">
        <is>
          <t>UserServices :9020</t>
        </is>
      </c>
      <c r="C9" s="9">
        <f>COUNTIF('Menu &amp; Submenu Status'!$E$5:$E$64,"*"&amp;A9&amp;"*")</f>
        <v/>
      </c>
      <c r="D9" s="9">
        <f>SUMPRODUCT(--ISNUMBER(SEARCH(A9,'Menu &amp; Submenu Status'!$E$5:$E$64)),'Menu &amp; Submenu Status'!$H$5:$H$64)</f>
        <v/>
      </c>
      <c r="E9" s="9">
        <f>COUNTIF($A$16:$A$52,A9)</f>
        <v/>
      </c>
      <c r="F9" s="9">
        <f>SUMIF($A$16:$A$52,A9,$C$16:$C$52)</f>
        <v/>
      </c>
      <c r="G9" s="5" t="inlineStr">
        <is>
          <t>QA-SEC-001 Fixed in source (module-wide); QA-DATA-001 Open</t>
        </is>
      </c>
      <c r="H9" s="10" t="inlineStr">
        <is>
          <t>Open</t>
        </is>
      </c>
    </row>
    <row r="10" ht="34" customHeight="1">
      <c r="A10" s="11" t="inlineStr">
        <is>
          <t>Cross-module (SPA)</t>
        </is>
      </c>
      <c r="B10" s="12" t="inlineStr">
        <is>
          <t>Frontend SPA (aggregates every service)</t>
        </is>
      </c>
      <c r="C10" s="13">
        <f>COUNTIF('Menu &amp; Submenu Status'!$E$5:$E$64,"*"&amp;A10&amp;"*")</f>
        <v/>
      </c>
      <c r="D10" s="13">
        <f>SUMPRODUCT(--ISNUMBER(SEARCH(A10,'Menu &amp; Submenu Status'!$E$5:$E$64)),'Menu &amp; Submenu Status'!$H$5:$H$64)</f>
        <v/>
      </c>
      <c r="E10" s="13">
        <f>COUNTIF($A$16:$A$52,A10)</f>
        <v/>
      </c>
      <c r="F10" s="13">
        <f>SUMIF($A$16:$A$52,A10,$C$16:$C$52)</f>
        <v/>
      </c>
      <c r="G10" s="14" t="inlineStr">
        <is>
          <t>QA-SEC-005 Fixed in source; QA-UX-002 Fixed in source</t>
        </is>
      </c>
      <c r="H10" s="15" t="inlineStr">
        <is>
          <t>Fixed in source</t>
        </is>
      </c>
    </row>
    <row r="11" ht="34" customHeight="1">
      <c r="A11" s="7" t="inlineStr">
        <is>
          <t>Cross-cutting (build &amp; deploy)</t>
        </is>
      </c>
      <c r="B11" s="8" t="inlineStr">
        <is>
          <t>repo root / deployment host</t>
        </is>
      </c>
      <c r="C11" s="9">
        <f>COUNTIF('Menu &amp; Submenu Status'!$E$5:$E$64,"*"&amp;A11&amp;"*")</f>
        <v/>
      </c>
      <c r="D11" s="9">
        <f>SUMPRODUCT(--ISNUMBER(SEARCH(A11,'Menu &amp; Submenu Status'!$E$5:$E$64)),'Menu &amp; Submenu Status'!$H$5:$H$64)</f>
        <v/>
      </c>
      <c r="E11" s="9">
        <f>COUNTIF($A$16:$A$52,A11)</f>
        <v/>
      </c>
      <c r="F11" s="9">
        <f>SUMIF($A$16:$A$52,A11,$C$16:$C$52)</f>
        <v/>
      </c>
      <c r="G11" s="5" t="inlineStr">
        <is>
          <t>QA-SEC-004 Open (module-wide); QA-SEC-001b Needs deploy (module-wide); QA-SEC-008 Partial (module-wide); QA-UX-003 Fixed in source (module-wide)</t>
        </is>
      </c>
      <c r="H11" s="10" t="inlineStr">
        <is>
          <t>Needs deploy</t>
        </is>
      </c>
    </row>
    <row r="12">
      <c r="A12" s="16" t="inlineStr">
        <is>
          <t>TOTAL</t>
        </is>
      </c>
      <c r="B12" s="17" t="inlineStr"/>
      <c r="C12" s="18">
        <f>SUM(C5:C11)</f>
        <v/>
      </c>
      <c r="D12" s="18">
        <f>SUM(D5:D11)</f>
        <v/>
      </c>
      <c r="E12" s="18">
        <f>SUM(E5:E11)</f>
        <v/>
      </c>
      <c r="F12" s="18">
        <f>SUM(F5:F11)</f>
        <v/>
      </c>
      <c r="G12" s="17" t="inlineStr"/>
      <c r="H12" s="17" t="inlineStr"/>
    </row>
    <row r="14">
      <c r="A14" s="19" t="inlineStr">
        <is>
          <t>Test suites by module</t>
        </is>
      </c>
      <c r="B14" s="20" t="n"/>
      <c r="C14" s="20" t="n"/>
      <c r="D14" s="20" t="n"/>
      <c r="E14" s="20" t="n"/>
      <c r="F14" s="20" t="n"/>
      <c r="G14" s="20" t="n"/>
      <c r="H14" s="21" t="n"/>
    </row>
    <row r="15" ht="30" customHeight="1">
      <c r="A15" s="6" t="inlineStr">
        <is>
          <t>Module</t>
        </is>
      </c>
      <c r="B15" s="6" t="inlineStr">
        <is>
          <t>Suite</t>
        </is>
      </c>
      <c r="C15" s="6" t="inlineStr">
        <is>
          <t>Checks</t>
        </is>
      </c>
      <c r="D15" s="6" t="inlineStr"/>
      <c r="E15" s="6" t="inlineStr"/>
      <c r="F15" s="6" t="inlineStr"/>
      <c r="G15" s="6" t="inlineStr"/>
      <c r="H15" s="6" t="inlineStr"/>
    </row>
    <row r="16">
      <c r="A16" s="8" t="inlineStr">
        <is>
          <t>Hotel / Reservations</t>
        </is>
      </c>
      <c r="B16" s="8" t="inlineStr">
        <is>
          <t>test_night_audit.py</t>
        </is>
      </c>
      <c r="C16" s="9" t="n">
        <v>50</v>
      </c>
      <c r="D16" s="8" t="inlineStr"/>
      <c r="E16" s="8" t="inlineStr"/>
      <c r="F16" s="8" t="inlineStr"/>
      <c r="G16" s="8" t="inlineStr"/>
      <c r="H16" s="8" t="inlineStr"/>
    </row>
    <row r="17">
      <c r="A17" s="8" t="inlineStr">
        <is>
          <t>Hotel / Reservations</t>
        </is>
      </c>
      <c r="B17" s="8" t="inlineStr">
        <is>
          <t>test_reservation_rules.py</t>
        </is>
      </c>
      <c r="C17" s="9" t="n">
        <v>111</v>
      </c>
      <c r="D17" s="8" t="inlineStr"/>
      <c r="E17" s="8" t="inlineStr"/>
      <c r="F17" s="8" t="inlineStr"/>
      <c r="G17" s="8" t="inlineStr"/>
      <c r="H17" s="8" t="inlineStr"/>
    </row>
    <row r="18">
      <c r="A18" s="8" t="inlineStr">
        <is>
          <t>Hotel / Reservations</t>
        </is>
      </c>
      <c r="B18" s="8" t="inlineStr">
        <is>
          <t>test_reservation_pricing.py</t>
        </is>
      </c>
      <c r="C18" s="9" t="n">
        <v>10</v>
      </c>
      <c r="D18" s="8" t="inlineStr"/>
      <c r="E18" s="8" t="inlineStr"/>
      <c r="F18" s="8" t="inlineStr"/>
      <c r="G18" s="8" t="inlineStr"/>
      <c r="H18" s="8" t="inlineStr"/>
    </row>
    <row r="19">
      <c r="A19" s="8" t="inlineStr">
        <is>
          <t>Hotel / Reservations</t>
        </is>
      </c>
      <c r="B19" s="8" t="inlineStr">
        <is>
          <t>test_booking_validation.py</t>
        </is>
      </c>
      <c r="C19" s="9" t="n">
        <v>24</v>
      </c>
      <c r="D19" s="8" t="inlineStr"/>
      <c r="E19" s="8" t="inlineStr"/>
      <c r="F19" s="8" t="inlineStr"/>
      <c r="G19" s="8" t="inlineStr"/>
      <c r="H19" s="8" t="inlineStr"/>
    </row>
    <row r="20">
      <c r="A20" s="8" t="inlineStr">
        <is>
          <t>Hotel / Reservations</t>
        </is>
      </c>
      <c r="B20" s="8" t="inlineStr">
        <is>
          <t>test_reservation_housekeeping.py</t>
        </is>
      </c>
      <c r="C20" s="9" t="n">
        <v>23</v>
      </c>
      <c r="D20" s="8" t="inlineStr"/>
      <c r="E20" s="8" t="inlineStr"/>
      <c r="F20" s="8" t="inlineStr"/>
      <c r="G20" s="8" t="inlineStr"/>
      <c r="H20" s="8" t="inlineStr"/>
    </row>
    <row r="21">
      <c r="A21" s="8" t="inlineStr">
        <is>
          <t>Hotel / Reservations</t>
        </is>
      </c>
      <c r="B21" s="8" t="inlineStr">
        <is>
          <t>test_master_client.py</t>
        </is>
      </c>
      <c r="C21" s="9" t="n">
        <v>45</v>
      </c>
      <c r="D21" s="8" t="inlineStr"/>
      <c r="E21" s="8" t="inlineStr"/>
      <c r="F21" s="8" t="inlineStr"/>
      <c r="G21" s="8" t="inlineStr"/>
      <c r="H21" s="8" t="inlineStr"/>
    </row>
    <row r="22">
      <c r="A22" s="8" t="inlineStr">
        <is>
          <t>Hotel / Reservations</t>
        </is>
      </c>
      <c r="B22" s="8" t="inlineStr">
        <is>
          <t>test_upload_content.py</t>
        </is>
      </c>
      <c r="C22" s="9" t="n">
        <v>78</v>
      </c>
      <c r="D22" s="8" t="inlineStr"/>
      <c r="E22" s="8" t="inlineStr"/>
      <c r="F22" s="8" t="inlineStr"/>
      <c r="G22" s="8" t="inlineStr"/>
      <c r="H22" s="8" t="inlineStr"/>
    </row>
    <row r="23">
      <c r="A23" s="8" t="inlineStr">
        <is>
          <t>Hotel / Reservations</t>
        </is>
      </c>
      <c r="B23" s="8" t="inlineStr">
        <is>
          <t>test_phone_validation.py</t>
        </is>
      </c>
      <c r="C23" s="9" t="n">
        <v>120</v>
      </c>
      <c r="D23" s="8" t="inlineStr"/>
      <c r="E23" s="8" t="inlineStr"/>
      <c r="F23" s="8" t="inlineStr"/>
      <c r="G23" s="8" t="inlineStr"/>
      <c r="H23" s="8" t="inlineStr"/>
    </row>
    <row r="24">
      <c r="A24" s="8" t="inlineStr">
        <is>
          <t>Hotel / Reservations</t>
        </is>
      </c>
      <c r="B24" s="8" t="inlineStr">
        <is>
          <t>test_phone_pattern_guard.py</t>
        </is>
      </c>
      <c r="C24" s="9" t="n">
        <v>2</v>
      </c>
      <c r="D24" s="8" t="inlineStr"/>
      <c r="E24" s="8" t="inlineStr"/>
      <c r="F24" s="8" t="inlineStr"/>
      <c r="G24" s="8" t="inlineStr"/>
      <c r="H24" s="8" t="inlineStr"/>
    </row>
    <row r="25">
      <c r="A25" s="8" t="inlineStr">
        <is>
          <t>Hotel / Reservations</t>
        </is>
      </c>
      <c r="B25" s="8" t="inlineStr">
        <is>
          <t>test_jwt_auth.py</t>
        </is>
      </c>
      <c r="C25" s="9" t="n">
        <v>10</v>
      </c>
      <c r="D25" s="8" t="inlineStr"/>
      <c r="E25" s="8" t="inlineStr"/>
      <c r="F25" s="8" t="inlineStr"/>
      <c r="G25" s="8" t="inlineStr"/>
      <c r="H25" s="8" t="inlineStr"/>
    </row>
    <row r="26">
      <c r="A26" s="8" t="inlineStr">
        <is>
          <t>Master Data</t>
        </is>
      </c>
      <c r="B26" s="8" t="inlineStr">
        <is>
          <t>test_snapshot_contract.py</t>
        </is>
      </c>
      <c r="C26" s="9" t="n">
        <v>12</v>
      </c>
      <c r="D26" s="8" t="inlineStr"/>
      <c r="E26" s="8" t="inlineStr"/>
      <c r="F26" s="8" t="inlineStr"/>
      <c r="G26" s="8" t="inlineStr"/>
      <c r="H26" s="8" t="inlineStr"/>
    </row>
    <row r="27">
      <c r="A27" s="8" t="inlineStr">
        <is>
          <t>Master Data</t>
        </is>
      </c>
      <c r="B27" s="8" t="inlineStr">
        <is>
          <t>test_upload_content.py</t>
        </is>
      </c>
      <c r="C27" s="9" t="n">
        <v>65</v>
      </c>
      <c r="D27" s="8" t="inlineStr"/>
      <c r="E27" s="8" t="inlineStr"/>
      <c r="F27" s="8" t="inlineStr"/>
      <c r="G27" s="8" t="inlineStr"/>
      <c r="H27" s="8" t="inlineStr"/>
    </row>
    <row r="28">
      <c r="A28" s="8" t="inlineStr">
        <is>
          <t>Master Data</t>
        </is>
      </c>
      <c r="B28" s="8" t="inlineStr">
        <is>
          <t>test_jwt_auth.py</t>
        </is>
      </c>
      <c r="C28" s="9" t="n">
        <v>10</v>
      </c>
      <c r="D28" s="8" t="inlineStr"/>
      <c r="E28" s="8" t="inlineStr"/>
      <c r="F28" s="8" t="inlineStr"/>
      <c r="G28" s="8" t="inlineStr"/>
      <c r="H28" s="8" t="inlineStr"/>
    </row>
    <row r="29">
      <c r="A29" s="8" t="inlineStr">
        <is>
          <t>Restaurant (F&amp;B)</t>
        </is>
      </c>
      <c r="B29" s="8" t="inlineStr">
        <is>
          <t>test_bill_payment.py</t>
        </is>
      </c>
      <c r="C29" s="9" t="n">
        <v>11</v>
      </c>
      <c r="D29" s="8" t="inlineStr"/>
      <c r="E29" s="8" t="inlineStr"/>
      <c r="F29" s="8" t="inlineStr"/>
      <c r="G29" s="8" t="inlineStr"/>
      <c r="H29" s="8" t="inlineStr"/>
    </row>
    <row r="30">
      <c r="A30" s="8" t="inlineStr">
        <is>
          <t>Restaurant (F&amp;B)</t>
        </is>
      </c>
      <c r="B30" s="8" t="inlineStr">
        <is>
          <t>test_upload_content.py</t>
        </is>
      </c>
      <c r="C30" s="9" t="n">
        <v>65</v>
      </c>
      <c r="D30" s="8" t="inlineStr"/>
      <c r="E30" s="8" t="inlineStr"/>
      <c r="F30" s="8" t="inlineStr"/>
      <c r="G30" s="8" t="inlineStr"/>
      <c r="H30" s="8" t="inlineStr"/>
    </row>
    <row r="31">
      <c r="A31" s="8" t="inlineStr">
        <is>
          <t>Restaurant (F&amp;B)</t>
        </is>
      </c>
      <c r="B31" s="8" t="inlineStr">
        <is>
          <t>test_phone_validation.py</t>
        </is>
      </c>
      <c r="C31" s="9" t="n">
        <v>120</v>
      </c>
      <c r="D31" s="8" t="inlineStr"/>
      <c r="E31" s="8" t="inlineStr"/>
      <c r="F31" s="8" t="inlineStr"/>
      <c r="G31" s="8" t="inlineStr"/>
      <c r="H31" s="8" t="inlineStr"/>
    </row>
    <row r="32">
      <c r="A32" s="8" t="inlineStr">
        <is>
          <t>Restaurant (F&amp;B)</t>
        </is>
      </c>
      <c r="B32" s="8" t="inlineStr">
        <is>
          <t>test_combo_rules.py</t>
        </is>
      </c>
      <c r="C32" s="9" t="n">
        <v>4</v>
      </c>
      <c r="D32" s="8" t="inlineStr"/>
      <c r="E32" s="8" t="inlineStr"/>
      <c r="F32" s="8" t="inlineStr"/>
      <c r="G32" s="8" t="inlineStr"/>
      <c r="H32" s="8" t="inlineStr"/>
    </row>
    <row r="33">
      <c r="A33" s="8" t="inlineStr">
        <is>
          <t>Restaurant (F&amp;B)</t>
        </is>
      </c>
      <c r="B33" s="8" t="inlineStr">
        <is>
          <t>test_fnb_hardening.py</t>
        </is>
      </c>
      <c r="C33" s="9" t="n">
        <v>6</v>
      </c>
      <c r="D33" s="8" t="inlineStr"/>
      <c r="E33" s="8" t="inlineStr"/>
      <c r="F33" s="8" t="inlineStr"/>
      <c r="G33" s="8" t="inlineStr"/>
      <c r="H33" s="8" t="inlineStr"/>
    </row>
    <row r="34">
      <c r="A34" s="8" t="inlineStr">
        <is>
          <t>Restaurant (F&amp;B)</t>
        </is>
      </c>
      <c r="B34" s="8" t="inlineStr">
        <is>
          <t>test_jwt_auth.py</t>
        </is>
      </c>
      <c r="C34" s="9" t="n">
        <v>10</v>
      </c>
      <c r="D34" s="8" t="inlineStr"/>
      <c r="E34" s="8" t="inlineStr"/>
      <c r="F34" s="8" t="inlineStr"/>
      <c r="G34" s="8" t="inlineStr"/>
      <c r="H34" s="8" t="inlineStr"/>
    </row>
    <row r="35">
      <c r="A35" s="8" t="inlineStr">
        <is>
          <t>Bar</t>
        </is>
      </c>
      <c r="B35" s="8" t="inlineStr">
        <is>
          <t>test_bill_payment.py</t>
        </is>
      </c>
      <c r="C35" s="9" t="n">
        <v>11</v>
      </c>
      <c r="D35" s="8" t="inlineStr"/>
      <c r="E35" s="8" t="inlineStr"/>
      <c r="F35" s="8" t="inlineStr"/>
      <c r="G35" s="8" t="inlineStr"/>
      <c r="H35" s="8" t="inlineStr"/>
    </row>
    <row r="36">
      <c r="A36" s="8" t="inlineStr">
        <is>
          <t>Bar</t>
        </is>
      </c>
      <c r="B36" s="8" t="inlineStr">
        <is>
          <t>test_upload_content.py</t>
        </is>
      </c>
      <c r="C36" s="9" t="n">
        <v>65</v>
      </c>
      <c r="D36" s="8" t="inlineStr"/>
      <c r="E36" s="8" t="inlineStr"/>
      <c r="F36" s="8" t="inlineStr"/>
      <c r="G36" s="8" t="inlineStr"/>
      <c r="H36" s="8" t="inlineStr"/>
    </row>
    <row r="37">
      <c r="A37" s="8" t="inlineStr">
        <is>
          <t>Bar</t>
        </is>
      </c>
      <c r="B37" s="8" t="inlineStr">
        <is>
          <t>test_phone_validation.py</t>
        </is>
      </c>
      <c r="C37" s="9" t="n">
        <v>120</v>
      </c>
      <c r="D37" s="8" t="inlineStr"/>
      <c r="E37" s="8" t="inlineStr"/>
      <c r="F37" s="8" t="inlineStr"/>
      <c r="G37" s="8" t="inlineStr"/>
      <c r="H37" s="8" t="inlineStr"/>
    </row>
    <row r="38">
      <c r="A38" s="8" t="inlineStr">
        <is>
          <t>Bar</t>
        </is>
      </c>
      <c r="B38" s="8" t="inlineStr">
        <is>
          <t>test_fnb_hardening.py</t>
        </is>
      </c>
      <c r="C38" s="9" t="n">
        <v>6</v>
      </c>
      <c r="D38" s="8" t="inlineStr"/>
      <c r="E38" s="8" t="inlineStr"/>
      <c r="F38" s="8" t="inlineStr"/>
      <c r="G38" s="8" t="inlineStr"/>
      <c r="H38" s="8" t="inlineStr"/>
    </row>
    <row r="39">
      <c r="A39" s="8" t="inlineStr">
        <is>
          <t>Bar</t>
        </is>
      </c>
      <c r="B39" s="8" t="inlineStr">
        <is>
          <t>test_jwt_auth.py</t>
        </is>
      </c>
      <c r="C39" s="9" t="n">
        <v>10</v>
      </c>
      <c r="D39" s="8" t="inlineStr"/>
      <c r="E39" s="8" t="inlineStr"/>
      <c r="F39" s="8" t="inlineStr"/>
      <c r="G39" s="8" t="inlineStr"/>
      <c r="H39" s="8" t="inlineStr"/>
    </row>
    <row r="40">
      <c r="A40" s="8" t="inlineStr">
        <is>
          <t>HRM / Users</t>
        </is>
      </c>
      <c r="B40" s="8" t="inlineStr">
        <is>
          <t>test_rbac.py</t>
        </is>
      </c>
      <c r="C40" s="9" t="n">
        <v>19</v>
      </c>
      <c r="D40" s="8" t="inlineStr"/>
      <c r="E40" s="8" t="inlineStr"/>
      <c r="F40" s="8" t="inlineStr"/>
      <c r="G40" s="8" t="inlineStr"/>
      <c r="H40" s="8" t="inlineStr"/>
    </row>
    <row r="41">
      <c r="A41" s="8" t="inlineStr">
        <is>
          <t>HRM / Users</t>
        </is>
      </c>
      <c r="B41" s="8" t="inlineStr">
        <is>
          <t>test_user_photo_upload.py</t>
        </is>
      </c>
      <c r="C41" s="9" t="n">
        <v>15</v>
      </c>
      <c r="D41" s="8" t="inlineStr"/>
      <c r="E41" s="8" t="inlineStr"/>
      <c r="F41" s="8" t="inlineStr"/>
      <c r="G41" s="8" t="inlineStr"/>
      <c r="H41" s="8" t="inlineStr"/>
    </row>
    <row r="42">
      <c r="A42" s="8" t="inlineStr">
        <is>
          <t>HRM / Users</t>
        </is>
      </c>
      <c r="B42" s="8" t="inlineStr">
        <is>
          <t>test_phone_validation.py</t>
        </is>
      </c>
      <c r="C42" s="9" t="n">
        <v>120</v>
      </c>
      <c r="D42" s="8" t="inlineStr"/>
      <c r="E42" s="8" t="inlineStr"/>
      <c r="F42" s="8" t="inlineStr"/>
      <c r="G42" s="8" t="inlineStr"/>
      <c r="H42" s="8" t="inlineStr"/>
    </row>
    <row r="43">
      <c r="A43" s="8" t="inlineStr">
        <is>
          <t>HRM / Users</t>
        </is>
      </c>
      <c r="B43" s="8" t="inlineStr">
        <is>
          <t>test_jwt_auth.py</t>
        </is>
      </c>
      <c r="C43" s="9" t="n">
        <v>10</v>
      </c>
      <c r="D43" s="8" t="inlineStr"/>
      <c r="E43" s="8" t="inlineStr"/>
      <c r="F43" s="8" t="inlineStr"/>
      <c r="G43" s="8" t="inlineStr"/>
      <c r="H43" s="8" t="inlineStr"/>
    </row>
    <row r="44">
      <c r="A44" s="8" t="inlineStr">
        <is>
          <t>Cross-cutting (build &amp; deploy)</t>
        </is>
      </c>
      <c r="B44" s="8" t="inlineStr">
        <is>
          <t>test_rbac_gateway.py</t>
        </is>
      </c>
      <c r="C44" s="9" t="n">
        <v>71</v>
      </c>
      <c r="D44" s="8" t="inlineStr"/>
      <c r="E44" s="8" t="inlineStr"/>
      <c r="F44" s="8" t="inlineStr"/>
      <c r="G44" s="8" t="inlineStr"/>
      <c r="H44" s="8" t="inlineStr"/>
    </row>
    <row r="45">
      <c r="A45" s="8" t="inlineStr">
        <is>
          <t>Cross-cutting (build &amp; deploy)</t>
        </is>
      </c>
      <c r="B45" s="8" t="inlineStr">
        <is>
          <t>test_route_policy.py</t>
        </is>
      </c>
      <c r="C45" s="9" t="n">
        <v>18</v>
      </c>
      <c r="D45" s="8" t="inlineStr"/>
      <c r="E45" s="8" t="inlineStr"/>
      <c r="F45" s="8" t="inlineStr"/>
      <c r="G45" s="8" t="inlineStr"/>
      <c r="H45" s="8" t="inlineStr"/>
    </row>
    <row r="46">
      <c r="A46" s="8" t="inlineStr">
        <is>
          <t>Cross-cutting (build &amp; deploy)</t>
        </is>
      </c>
      <c r="B46" s="8" t="inlineStr">
        <is>
          <t>test_preflight_images.py</t>
        </is>
      </c>
      <c r="C46" s="9" t="n">
        <v>7</v>
      </c>
      <c r="D46" s="8" t="inlineStr"/>
      <c r="E46" s="8" t="inlineStr"/>
      <c r="F46" s="8" t="inlineStr"/>
      <c r="G46" s="8" t="inlineStr"/>
      <c r="H46" s="8" t="inlineStr"/>
    </row>
    <row r="47">
      <c r="A47" s="8" t="inlineStr">
        <is>
          <t>Cross-cutting (build &amp; deploy)</t>
        </is>
      </c>
      <c r="B47" s="8" t="inlineStr">
        <is>
          <t>test_seed_night_audit.py</t>
        </is>
      </c>
      <c r="C47" s="9" t="n">
        <v>10</v>
      </c>
      <c r="D47" s="8" t="inlineStr"/>
      <c r="E47" s="8" t="inlineStr"/>
      <c r="F47" s="8" t="inlineStr"/>
      <c r="G47" s="8" t="inlineStr"/>
      <c r="H47" s="8" t="inlineStr"/>
    </row>
    <row r="48">
      <c r="A48" s="8" t="inlineStr">
        <is>
          <t>Cross-cutting (build &amp; deploy)</t>
        </is>
      </c>
      <c r="B48" s="8" t="inlineStr">
        <is>
          <t>test_jwt_auth.py</t>
        </is>
      </c>
      <c r="C48" s="9" t="n">
        <v>10</v>
      </c>
      <c r="D48" s="8" t="inlineStr"/>
      <c r="E48" s="8" t="inlineStr"/>
      <c r="F48" s="8" t="inlineStr"/>
      <c r="G48" s="8" t="inlineStr"/>
      <c r="H48" s="8" t="inlineStr"/>
    </row>
    <row r="49">
      <c r="A49" s="8" t="inlineStr">
        <is>
          <t>Cross-cutting (build &amp; deploy)</t>
        </is>
      </c>
      <c r="B49" s="8" t="inlineStr">
        <is>
          <t>test_bind_guard.py</t>
        </is>
      </c>
      <c r="C49" s="9" t="n">
        <v>41</v>
      </c>
      <c r="D49" s="8" t="inlineStr"/>
      <c r="E49" s="8" t="inlineStr"/>
      <c r="F49" s="8" t="inlineStr"/>
      <c r="G49" s="8" t="inlineStr"/>
      <c r="H49" s="8" t="inlineStr"/>
    </row>
    <row r="50">
      <c r="A50" s="8" t="inlineStr">
        <is>
          <t>Cross-cutting (build &amp; deploy)</t>
        </is>
      </c>
      <c r="B50" s="8" t="inlineStr">
        <is>
          <t>test_spa_fallback.py</t>
        </is>
      </c>
      <c r="C50" s="9" t="n">
        <v>21</v>
      </c>
      <c r="D50" s="8" t="inlineStr"/>
      <c r="E50" s="8" t="inlineStr"/>
      <c r="F50" s="8" t="inlineStr"/>
      <c r="G50" s="8" t="inlineStr"/>
      <c r="H50" s="8" t="inlineStr"/>
    </row>
    <row r="51">
      <c r="A51" s="8" t="inlineStr">
        <is>
          <t>Cross-cutting (build &amp; deploy)</t>
        </is>
      </c>
      <c r="B51" s="8" t="inlineStr">
        <is>
          <t>install_bind_guard.py</t>
        </is>
      </c>
      <c r="C51" s="9" t="n">
        <v>5</v>
      </c>
      <c r="D51" s="8" t="inlineStr"/>
      <c r="E51" s="8" t="inlineStr"/>
      <c r="F51" s="8" t="inlineStr"/>
      <c r="G51" s="8" t="inlineStr"/>
      <c r="H51" s="8" t="inlineStr"/>
    </row>
    <row r="52">
      <c r="A52" s="8" t="inlineStr">
        <is>
          <t>Cross-cutting (build &amp; deploy)</t>
        </is>
      </c>
      <c r="B52" s="8" t="inlineStr">
        <is>
          <t>remove_frozen_dates.py</t>
        </is>
      </c>
      <c r="C52" s="9" t="n">
        <v>6</v>
      </c>
      <c r="D52" s="8" t="inlineStr"/>
      <c r="E52" s="8" t="inlineStr"/>
      <c r="F52" s="8" t="inlineStr"/>
      <c r="G52" s="8" t="inlineStr"/>
      <c r="H52" s="8" t="inlineStr"/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5" customWidth="1" min="3" max="3"/>
    <col width="23" customWidth="1" min="4" max="4"/>
    <col width="20" customWidth="1" min="5" max="5"/>
    <col width="27" customWidth="1" min="6" max="6"/>
    <col width="22" customWidth="1" min="7" max="7"/>
    <col width="7" customWidth="1" min="8" max="8"/>
    <col width="7" customWidth="1" min="9" max="9"/>
    <col width="13" customWidth="1" min="10" max="10"/>
    <col width="13" customWidth="1" min="11" max="11"/>
    <col width="12" customWidth="1" min="12" max="12"/>
    <col width="13" customWidth="1" min="13" max="13"/>
    <col width="9" customWidth="1" min="14" max="14"/>
    <col width="10" customWidth="1" min="15" max="15"/>
    <col width="14" customWidth="1" min="16" max="16"/>
    <col width="34" customWidth="1" min="17" max="17"/>
  </cols>
  <sheetData>
    <row r="1" ht="32" customHeight="1">
      <c r="A1" s="1" t="inlineStr">
        <is>
          <t>Every menu and submenu, with its status</t>
        </is>
      </c>
    </row>
    <row r="2" ht="20" customHeight="1">
      <c r="A2" s="2" t="inlineStr">
        <is>
          <t>All 60 pages from the shipped database. V/A/E/D are what each role is granted on that page. 'Reachable' is a formula over those five columns. 'Owning module' is which menu the screen sits under; 'Served by' is which services answer for it - two different questions, and the first attempt conflated them.</t>
        </is>
      </c>
    </row>
    <row r="4" ht="30" customHeight="1">
      <c r="A4" s="6" t="inlineStr">
        <is>
          <t>#</t>
        </is>
      </c>
      <c r="B4" s="6" t="inlineStr">
        <is>
          <t>Kind</t>
        </is>
      </c>
      <c r="C4" s="6" t="inlineStr">
        <is>
          <t>Parent menu</t>
        </is>
      </c>
      <c r="D4" s="6" t="inlineStr">
        <is>
          <t>Label</t>
        </is>
      </c>
      <c r="E4" s="6" t="inlineStr">
        <is>
          <t>Owning module</t>
        </is>
      </c>
      <c r="F4" s="6" t="inlineStr">
        <is>
          <t>Path</t>
        </is>
      </c>
      <c r="G4" s="6" t="inlineStr">
        <is>
          <t>Served by</t>
        </is>
      </c>
      <c r="H4" s="6" t="inlineStr">
        <is>
          <t>Routes</t>
        </is>
      </c>
      <c r="I4" s="6" t="inlineStr">
        <is>
          <t>Roles</t>
        </is>
      </c>
      <c r="J4" s="6" t="inlineStr">
        <is>
          <t>Admin</t>
        </is>
      </c>
      <c r="K4" s="6" t="inlineStr">
        <is>
          <t>F.O. Manager</t>
        </is>
      </c>
      <c r="L4" s="6" t="inlineStr">
        <is>
          <t>Front Desk</t>
        </is>
      </c>
      <c r="M4" s="6" t="inlineStr">
        <is>
          <t>Housekeeping</t>
        </is>
      </c>
      <c r="N4" s="6" t="inlineStr">
        <is>
          <t>F&amp;B</t>
        </is>
      </c>
      <c r="O4" s="6" t="inlineStr">
        <is>
          <t>Reachable</t>
        </is>
      </c>
      <c r="P4" s="6" t="inlineStr">
        <is>
          <t>QA status</t>
        </is>
      </c>
      <c r="Q4" s="6" t="inlineStr">
        <is>
          <t>Note</t>
        </is>
      </c>
    </row>
    <row r="5" ht="26" customHeight="1">
      <c r="A5" s="22" t="n">
        <v>1</v>
      </c>
      <c r="B5" s="8" t="inlineStr">
        <is>
          <t>Menu</t>
        </is>
      </c>
      <c r="C5" s="8" t="inlineStr">
        <is>
          <t>-</t>
        </is>
      </c>
      <c r="D5" s="7" t="inlineStr">
        <is>
          <t>Dashboard</t>
        </is>
      </c>
      <c r="E5" s="5" t="inlineStr">
        <is>
          <t>Cross-module (SPA)</t>
        </is>
      </c>
      <c r="F5" s="8" t="inlineStr">
        <is>
          <t>/dashboard</t>
        </is>
      </c>
      <c r="G5" s="23" t="inlineStr">
        <is>
          <t>Bar, Hotel / Reservations, Master Data, Restaurant (F&amp;B)</t>
        </is>
      </c>
      <c r="H5" s="9" t="n">
        <v>19</v>
      </c>
      <c r="I5" s="9" t="n">
        <v>5</v>
      </c>
      <c r="J5" s="24" t="inlineStr">
        <is>
          <t>V/C/E/D</t>
        </is>
      </c>
      <c r="K5" s="24" t="inlineStr">
        <is>
          <t>V</t>
        </is>
      </c>
      <c r="L5" s="24" t="inlineStr">
        <is>
          <t>V</t>
        </is>
      </c>
      <c r="M5" s="24" t="inlineStr">
        <is>
          <t>V</t>
        </is>
      </c>
      <c r="N5" s="24" t="inlineStr">
        <is>
          <t>V</t>
        </is>
      </c>
      <c r="O5" s="25">
        <f>COUNTIF(J5:N5,"&lt;&gt;-")</f>
        <v/>
      </c>
      <c r="P5" s="26" t="inlineStr">
        <is>
          <t>Fixed in source</t>
        </is>
      </c>
      <c r="Q5" s="5" t="inlineStr">
        <is>
          <t>QA-SEC-005 fixed: no longer reads guest PII from user_activity_log.</t>
        </is>
      </c>
    </row>
    <row r="6" ht="26" customHeight="1">
      <c r="A6" s="27" t="n">
        <v>2</v>
      </c>
      <c r="B6" s="12" t="inlineStr">
        <is>
          <t>Menu</t>
        </is>
      </c>
      <c r="C6" s="12" t="inlineStr">
        <is>
          <t>-</t>
        </is>
      </c>
      <c r="D6" s="11" t="inlineStr">
        <is>
          <t>Reservation</t>
        </is>
      </c>
      <c r="E6" s="14" t="inlineStr">
        <is>
          <t>Hotel / Reservations</t>
        </is>
      </c>
      <c r="F6" s="12" t="inlineStr">
        <is>
          <t>/reservation</t>
        </is>
      </c>
      <c r="G6" s="28" t="inlineStr">
        <is>
          <t>Hotel / Reservations, Master Data</t>
        </is>
      </c>
      <c r="H6" s="13" t="n">
        <v>22</v>
      </c>
      <c r="I6" s="13" t="n">
        <v>4</v>
      </c>
      <c r="J6" s="29" t="inlineStr">
        <is>
          <t>V/C/E/D</t>
        </is>
      </c>
      <c r="K6" s="29" t="inlineStr">
        <is>
          <t>V/C/E/D</t>
        </is>
      </c>
      <c r="L6" s="29" t="inlineStr">
        <is>
          <t>V/C/E</t>
        </is>
      </c>
      <c r="M6" s="29" t="inlineStr">
        <is>
          <t>V</t>
        </is>
      </c>
      <c r="N6" s="27" t="inlineStr">
        <is>
          <t>-</t>
        </is>
      </c>
      <c r="O6" s="30">
        <f>COUNTIF(J6:N6,"&lt;&gt;-")</f>
        <v/>
      </c>
      <c r="P6" s="31" t="inlineStr">
        <is>
          <t>Needs deploy</t>
        </is>
      </c>
      <c r="Q6" s="14" t="inlineStr">
        <is>
          <t>Parent screen; 4 children.</t>
        </is>
      </c>
    </row>
    <row r="7" ht="26" customHeight="1">
      <c r="A7" s="22" t="n">
        <v>3</v>
      </c>
      <c r="B7" s="8" t="inlineStr">
        <is>
          <t>Submenu</t>
        </is>
      </c>
      <c r="C7" s="8" t="inlineStr">
        <is>
          <t>Reservation</t>
        </is>
      </c>
      <c r="D7" s="7" t="inlineStr">
        <is>
          <t>Add New Reservation</t>
        </is>
      </c>
      <c r="E7" s="5" t="inlineStr">
        <is>
          <t>Hotel / Reservations</t>
        </is>
      </c>
      <c r="F7" s="8" t="inlineStr">
        <is>
          <t>/add_new_reservation</t>
        </is>
      </c>
      <c r="G7" s="23" t="inlineStr">
        <is>
          <t>Hotel / Reservations, Master Data</t>
        </is>
      </c>
      <c r="H7" s="9" t="n">
        <v>14</v>
      </c>
      <c r="I7" s="9" t="n">
        <v>4</v>
      </c>
      <c r="J7" s="24" t="inlineStr">
        <is>
          <t>V/C/E/D</t>
        </is>
      </c>
      <c r="K7" s="24" t="inlineStr">
        <is>
          <t>V/C/E/D</t>
        </is>
      </c>
      <c r="L7" s="24" t="inlineStr">
        <is>
          <t>V/C/E</t>
        </is>
      </c>
      <c r="M7" s="24" t="inlineStr">
        <is>
          <t>V</t>
        </is>
      </c>
      <c r="N7" s="22" t="inlineStr">
        <is>
          <t>-</t>
        </is>
      </c>
      <c r="O7" s="25">
        <f>COUNTIF(J7:N7,"&lt;&gt;-")</f>
        <v/>
      </c>
      <c r="P7" s="31" t="inlineStr">
        <is>
          <t>Needs deploy</t>
        </is>
      </c>
      <c r="Q7" s="5" t="inlineStr">
        <is>
          <t>QA-BIZ-002 fixed: quote refuses unsellable rooms.</t>
        </is>
      </c>
    </row>
    <row r="8" ht="26" customHeight="1">
      <c r="A8" s="27" t="n">
        <v>4</v>
      </c>
      <c r="B8" s="12" t="inlineStr">
        <is>
          <t>Submenu</t>
        </is>
      </c>
      <c r="C8" s="12" t="inlineStr">
        <is>
          <t>Reservation</t>
        </is>
      </c>
      <c r="D8" s="11" t="inlineStr">
        <is>
          <t>Booking</t>
        </is>
      </c>
      <c r="E8" s="14" t="inlineStr">
        <is>
          <t>Hotel / Reservations</t>
        </is>
      </c>
      <c r="F8" s="12" t="inlineStr">
        <is>
          <t>/booking</t>
        </is>
      </c>
      <c r="G8" s="28" t="inlineStr">
        <is>
          <t>Hotel / Reservations, Master Data</t>
        </is>
      </c>
      <c r="H8" s="13" t="n">
        <v>7</v>
      </c>
      <c r="I8" s="13" t="n">
        <v>4</v>
      </c>
      <c r="J8" s="29" t="inlineStr">
        <is>
          <t>V/C/E/D</t>
        </is>
      </c>
      <c r="K8" s="29" t="inlineStr">
        <is>
          <t>V/C/E/D</t>
        </is>
      </c>
      <c r="L8" s="29" t="inlineStr">
        <is>
          <t>V/C/E</t>
        </is>
      </c>
      <c r="M8" s="29" t="inlineStr">
        <is>
          <t>V</t>
        </is>
      </c>
      <c r="N8" s="27" t="inlineStr">
        <is>
          <t>-</t>
        </is>
      </c>
      <c r="O8" s="30">
        <f>COUNTIF(J8:N8,"&lt;&gt;-")</f>
        <v/>
      </c>
      <c r="P8" s="31" t="inlineStr">
        <is>
          <t>Needs deploy</t>
        </is>
      </c>
      <c r="Q8" s="14" t="inlineStr">
        <is>
          <t>QA-SEC-006: Housekeeping granted view here.</t>
        </is>
      </c>
    </row>
    <row r="9" ht="26" customHeight="1">
      <c r="A9" s="22" t="n">
        <v>5</v>
      </c>
      <c r="B9" s="8" t="inlineStr">
        <is>
          <t>Submenu</t>
        </is>
      </c>
      <c r="C9" s="8" t="inlineStr">
        <is>
          <t>Reservation</t>
        </is>
      </c>
      <c r="D9" s="7" t="inlineStr">
        <is>
          <t>Room View</t>
        </is>
      </c>
      <c r="E9" s="5" t="inlineStr">
        <is>
          <t>Hotel / Reservations</t>
        </is>
      </c>
      <c r="F9" s="8" t="inlineStr">
        <is>
          <t>/room_view</t>
        </is>
      </c>
      <c r="G9" s="23" t="inlineStr">
        <is>
          <t>Master Data</t>
        </is>
      </c>
      <c r="H9" s="9" t="n">
        <v>3</v>
      </c>
      <c r="I9" s="9" t="n">
        <v>4</v>
      </c>
      <c r="J9" s="24" t="inlineStr">
        <is>
          <t>V/C/E/D</t>
        </is>
      </c>
      <c r="K9" s="24" t="inlineStr">
        <is>
          <t>V/C/E/D</t>
        </is>
      </c>
      <c r="L9" s="24" t="inlineStr">
        <is>
          <t>V/C/E</t>
        </is>
      </c>
      <c r="M9" s="24" t="inlineStr">
        <is>
          <t>V</t>
        </is>
      </c>
      <c r="N9" s="22" t="inlineStr">
        <is>
          <t>-</t>
        </is>
      </c>
      <c r="O9" s="25">
        <f>COUNTIF(J9:N9,"&lt;&gt;-")</f>
        <v/>
      </c>
      <c r="P9" s="31" t="inlineStr">
        <is>
          <t>Needs deploy</t>
        </is>
      </c>
      <c r="Q9" s="5" t="inlineStr"/>
    </row>
    <row r="10" ht="26" customHeight="1">
      <c r="A10" s="27" t="n">
        <v>6</v>
      </c>
      <c r="B10" s="12" t="inlineStr">
        <is>
          <t>Submenu</t>
        </is>
      </c>
      <c r="C10" s="12" t="inlineStr">
        <is>
          <t>Reservation</t>
        </is>
      </c>
      <c r="D10" s="11" t="inlineStr">
        <is>
          <t>Reservation View</t>
        </is>
      </c>
      <c r="E10" s="14" t="inlineStr">
        <is>
          <t>Hotel / Reservations</t>
        </is>
      </c>
      <c r="F10" s="12" t="inlineStr">
        <is>
          <t>/reservation_view</t>
        </is>
      </c>
      <c r="G10" s="28" t="inlineStr">
        <is>
          <t>Hotel / Reservations, Master Data</t>
        </is>
      </c>
      <c r="H10" s="13" t="n">
        <v>2</v>
      </c>
      <c r="I10" s="13" t="n">
        <v>4</v>
      </c>
      <c r="J10" s="29" t="inlineStr">
        <is>
          <t>V/C/E/D</t>
        </is>
      </c>
      <c r="K10" s="29" t="inlineStr">
        <is>
          <t>V/C/E/D</t>
        </is>
      </c>
      <c r="L10" s="29" t="inlineStr">
        <is>
          <t>V/C/E</t>
        </is>
      </c>
      <c r="M10" s="29" t="inlineStr">
        <is>
          <t>V</t>
        </is>
      </c>
      <c r="N10" s="27" t="inlineStr">
        <is>
          <t>-</t>
        </is>
      </c>
      <c r="O10" s="30">
        <f>COUNTIF(J10:N10,"&lt;&gt;-")</f>
        <v/>
      </c>
      <c r="P10" s="31" t="inlineStr">
        <is>
          <t>Needs deploy</t>
        </is>
      </c>
      <c r="Q10" s="14" t="inlineStr">
        <is>
          <t>QA-BIZ-001 fixed: repeat cancel is a 409.</t>
        </is>
      </c>
    </row>
    <row r="11" ht="26" customHeight="1">
      <c r="A11" s="22" t="n">
        <v>7</v>
      </c>
      <c r="B11" s="8" t="inlineStr">
        <is>
          <t>Submenu</t>
        </is>
      </c>
      <c r="C11" s="8" t="inlineStr">
        <is>
          <t>Night Audit</t>
        </is>
      </c>
      <c r="D11" s="7" t="inlineStr">
        <is>
          <t>Night Audit</t>
        </is>
      </c>
      <c r="E11" s="5" t="inlineStr">
        <is>
          <t>Hotel / Reservations</t>
        </is>
      </c>
      <c r="F11" s="8" t="inlineStr">
        <is>
          <t>/night_audit</t>
        </is>
      </c>
      <c r="G11" s="23" t="inlineStr">
        <is>
          <t>Hotel / Reservations, Master Data</t>
        </is>
      </c>
      <c r="H11" s="9" t="n">
        <v>5</v>
      </c>
      <c r="I11" s="9" t="n">
        <v>2</v>
      </c>
      <c r="J11" s="24" t="inlineStr">
        <is>
          <t>V/C/E/D</t>
        </is>
      </c>
      <c r="K11" s="24" t="inlineStr">
        <is>
          <t>V/C/E</t>
        </is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5">
        <f>COUNTIF(J11:N11,"&lt;&gt;-")</f>
        <v/>
      </c>
      <c r="P11" s="31" t="inlineStr">
        <is>
          <t>Needs deploy</t>
        </is>
      </c>
      <c r="Q11" s="5" t="inlineStr">
        <is>
          <t>QA-SEC-009: business_date comes from the host clock.</t>
        </is>
      </c>
    </row>
    <row r="12" ht="26" customHeight="1">
      <c r="A12" s="27" t="n">
        <v>8</v>
      </c>
      <c r="B12" s="12" t="inlineStr">
        <is>
          <t>Submenu</t>
        </is>
      </c>
      <c r="C12" s="12" t="inlineStr">
        <is>
          <t>Night Audit</t>
        </is>
      </c>
      <c r="D12" s="11" t="inlineStr">
        <is>
          <t>User Reserved Details</t>
        </is>
      </c>
      <c r="E12" s="14" t="inlineStr">
        <is>
          <t>Hotel / Reservations</t>
        </is>
      </c>
      <c r="F12" s="12" t="inlineStr">
        <is>
          <t>/user_reserved_details</t>
        </is>
      </c>
      <c r="G12" s="28" t="inlineStr">
        <is>
          <t>Hotel / Reservations, Master Data</t>
        </is>
      </c>
      <c r="H12" s="13" t="n">
        <v>3</v>
      </c>
      <c r="I12" s="13" t="n">
        <v>2</v>
      </c>
      <c r="J12" s="29" t="inlineStr">
        <is>
          <t>V/C/E/D</t>
        </is>
      </c>
      <c r="K12" s="29" t="inlineStr">
        <is>
          <t>V/C/E</t>
        </is>
      </c>
      <c r="L12" s="27" t="inlineStr">
        <is>
          <t>-</t>
        </is>
      </c>
      <c r="M12" s="27" t="inlineStr">
        <is>
          <t>-</t>
        </is>
      </c>
      <c r="N12" s="27" t="inlineStr">
        <is>
          <t>-</t>
        </is>
      </c>
      <c r="O12" s="30">
        <f>COUNTIF(J12:N12,"&lt;&gt;-")</f>
        <v/>
      </c>
      <c r="P12" s="31" t="inlineStr">
        <is>
          <t>Needs deploy</t>
        </is>
      </c>
      <c r="Q12" s="14" t="inlineStr"/>
    </row>
    <row r="13" ht="26" customHeight="1">
      <c r="A13" s="22" t="n">
        <v>9</v>
      </c>
      <c r="B13" s="8" t="inlineStr">
        <is>
          <t>Submenu</t>
        </is>
      </c>
      <c r="C13" s="8" t="inlineStr">
        <is>
          <t>Night Audit</t>
        </is>
      </c>
      <c r="D13" s="7" t="inlineStr">
        <is>
          <t>Room Booked Details</t>
        </is>
      </c>
      <c r="E13" s="5" t="inlineStr">
        <is>
          <t>Hotel / Reservations</t>
        </is>
      </c>
      <c r="F13" s="8" t="inlineStr">
        <is>
          <t>/room_booked_details</t>
        </is>
      </c>
      <c r="G13" s="23" t="inlineStr">
        <is>
          <t>Hotel / Reservations, Master Data</t>
        </is>
      </c>
      <c r="H13" s="9" t="n">
        <v>2</v>
      </c>
      <c r="I13" s="9" t="n">
        <v>2</v>
      </c>
      <c r="J13" s="24" t="inlineStr">
        <is>
          <t>V/C/E/D</t>
        </is>
      </c>
      <c r="K13" s="24" t="inlineStr">
        <is>
          <t>V/C/E</t>
        </is>
      </c>
      <c r="L13" s="22" t="inlineStr">
        <is>
          <t>-</t>
        </is>
      </c>
      <c r="M13" s="22" t="inlineStr">
        <is>
          <t>-</t>
        </is>
      </c>
      <c r="N13" s="22" t="inlineStr">
        <is>
          <t>-</t>
        </is>
      </c>
      <c r="O13" s="25">
        <f>COUNTIF(J13:N13,"&lt;&gt;-")</f>
        <v/>
      </c>
      <c r="P13" s="31" t="inlineStr">
        <is>
          <t>Needs deploy</t>
        </is>
      </c>
      <c r="Q13" s="5" t="inlineStr"/>
    </row>
    <row r="14" ht="26" customHeight="1">
      <c r="A14" s="27" t="n">
        <v>10</v>
      </c>
      <c r="B14" s="12" t="inlineStr">
        <is>
          <t>Submenu</t>
        </is>
      </c>
      <c r="C14" s="12" t="inlineStr">
        <is>
          <t>Night Audit</t>
        </is>
      </c>
      <c r="D14" s="11" t="inlineStr">
        <is>
          <t>Settlement Summary</t>
        </is>
      </c>
      <c r="E14" s="14" t="inlineStr">
        <is>
          <t>Hotel / Reservations</t>
        </is>
      </c>
      <c r="F14" s="12" t="inlineStr">
        <is>
          <t>/settlement_summary</t>
        </is>
      </c>
      <c r="G14" s="28" t="inlineStr">
        <is>
          <t>Hotel / Reservations, Master Data</t>
        </is>
      </c>
      <c r="H14" s="13" t="n">
        <v>2</v>
      </c>
      <c r="I14" s="13" t="n">
        <v>2</v>
      </c>
      <c r="J14" s="29" t="inlineStr">
        <is>
          <t>V/C/E/D</t>
        </is>
      </c>
      <c r="K14" s="29" t="inlineStr">
        <is>
          <t>V/C/E</t>
        </is>
      </c>
      <c r="L14" s="27" t="inlineStr">
        <is>
          <t>-</t>
        </is>
      </c>
      <c r="M14" s="27" t="inlineStr">
        <is>
          <t>-</t>
        </is>
      </c>
      <c r="N14" s="27" t="inlineStr">
        <is>
          <t>-</t>
        </is>
      </c>
      <c r="O14" s="30">
        <f>COUNTIF(J14:N14,"&lt;&gt;-")</f>
        <v/>
      </c>
      <c r="P14" s="31" t="inlineStr">
        <is>
          <t>Needs deploy</t>
        </is>
      </c>
      <c r="Q14" s="14" t="inlineStr"/>
    </row>
    <row r="15" ht="26" customHeight="1">
      <c r="A15" s="22" t="n">
        <v>11</v>
      </c>
      <c r="B15" s="8" t="inlineStr">
        <is>
          <t>Menu</t>
        </is>
      </c>
      <c r="C15" s="8" t="inlineStr">
        <is>
          <t>-</t>
        </is>
      </c>
      <c r="D15" s="7" t="inlineStr">
        <is>
          <t>Guest Enquiry</t>
        </is>
      </c>
      <c r="E15" s="5" t="inlineStr">
        <is>
          <t>Hotel / Reservations</t>
        </is>
      </c>
      <c r="F15" s="8" t="inlineStr">
        <is>
          <t>/guest_enquiry</t>
        </is>
      </c>
      <c r="G15" s="23" t="inlineStr">
        <is>
          <t>Hotel / Reservations, Master Data</t>
        </is>
      </c>
      <c r="H15" s="9" t="n">
        <v>7</v>
      </c>
      <c r="I15" s="9" t="n">
        <v>3</v>
      </c>
      <c r="J15" s="24" t="inlineStr">
        <is>
          <t>V/C/E/D</t>
        </is>
      </c>
      <c r="K15" s="24" t="inlineStr">
        <is>
          <t>V/C/E</t>
        </is>
      </c>
      <c r="L15" s="24" t="inlineStr">
        <is>
          <t>V/C/E</t>
        </is>
      </c>
      <c r="M15" s="22" t="inlineStr">
        <is>
          <t>-</t>
        </is>
      </c>
      <c r="N15" s="22" t="inlineStr">
        <is>
          <t>-</t>
        </is>
      </c>
      <c r="O15" s="25">
        <f>COUNTIF(J15:N15,"&lt;&gt;-")</f>
        <v/>
      </c>
      <c r="P15" s="31" t="inlineStr">
        <is>
          <t>Needs deploy</t>
        </is>
      </c>
      <c r="Q15" s="5" t="inlineStr"/>
    </row>
    <row r="16" ht="26" customHeight="1">
      <c r="A16" s="27" t="n">
        <v>12</v>
      </c>
      <c r="B16" s="12" t="inlineStr">
        <is>
          <t>Submenu</t>
        </is>
      </c>
      <c r="C16" s="12" t="inlineStr">
        <is>
          <t>House Keeper</t>
        </is>
      </c>
      <c r="D16" s="11" t="inlineStr">
        <is>
          <t>Task Assign</t>
        </is>
      </c>
      <c r="E16" s="14" t="inlineStr">
        <is>
          <t>Hotel / Reservations</t>
        </is>
      </c>
      <c r="F16" s="12" t="inlineStr">
        <is>
          <t>/task_assign</t>
        </is>
      </c>
      <c r="G16" s="28" t="inlineStr">
        <is>
          <t>HRM / Users, Hotel / Reservations, Master Data</t>
        </is>
      </c>
      <c r="H16" s="13" t="n">
        <v>10</v>
      </c>
      <c r="I16" s="13" t="n">
        <v>3</v>
      </c>
      <c r="J16" s="29" t="inlineStr">
        <is>
          <t>V/C/E/D</t>
        </is>
      </c>
      <c r="K16" s="29" t="inlineStr">
        <is>
          <t>V</t>
        </is>
      </c>
      <c r="L16" s="27" t="inlineStr">
        <is>
          <t>-</t>
        </is>
      </c>
      <c r="M16" s="29" t="inlineStr">
        <is>
          <t>V/C/E</t>
        </is>
      </c>
      <c r="N16" s="27" t="inlineStr">
        <is>
          <t>-</t>
        </is>
      </c>
      <c r="O16" s="30">
        <f>COUNTIF(J16:N16,"&lt;&gt;-")</f>
        <v/>
      </c>
      <c r="P16" s="31" t="inlineStr">
        <is>
          <t>Needs deploy</t>
        </is>
      </c>
      <c r="Q16" s="14" t="inlineStr"/>
    </row>
    <row r="17" ht="26" customHeight="1">
      <c r="A17" s="22" t="n">
        <v>13</v>
      </c>
      <c r="B17" s="8" t="inlineStr">
        <is>
          <t>Submenu</t>
        </is>
      </c>
      <c r="C17" s="8" t="inlineStr">
        <is>
          <t>House Keeper</t>
        </is>
      </c>
      <c r="D17" s="7" t="inlineStr">
        <is>
          <t>Room Incident Log</t>
        </is>
      </c>
      <c r="E17" s="5" t="inlineStr">
        <is>
          <t>Hotel / Reservations</t>
        </is>
      </c>
      <c r="F17" s="8" t="inlineStr">
        <is>
          <t>/room_incident_log</t>
        </is>
      </c>
      <c r="G17" s="23" t="inlineStr">
        <is>
          <t>HRM / Users, Hotel / Reservations, Master Data</t>
        </is>
      </c>
      <c r="H17" s="9" t="n">
        <v>10</v>
      </c>
      <c r="I17" s="9" t="n">
        <v>3</v>
      </c>
      <c r="J17" s="24" t="inlineStr">
        <is>
          <t>V/C/E/D</t>
        </is>
      </c>
      <c r="K17" s="24" t="inlineStr">
        <is>
          <t>V</t>
        </is>
      </c>
      <c r="L17" s="22" t="inlineStr">
        <is>
          <t>-</t>
        </is>
      </c>
      <c r="M17" s="24" t="inlineStr">
        <is>
          <t>V/C/E</t>
        </is>
      </c>
      <c r="N17" s="22" t="inlineStr">
        <is>
          <t>-</t>
        </is>
      </c>
      <c r="O17" s="25">
        <f>COUNTIF(J17:N17,"&lt;&gt;-")</f>
        <v/>
      </c>
      <c r="P17" s="31" t="inlineStr">
        <is>
          <t>Needs deploy</t>
        </is>
      </c>
      <c r="Q17" s="5" t="inlineStr"/>
    </row>
    <row r="18" ht="26" customHeight="1">
      <c r="A18" s="27" t="n">
        <v>14</v>
      </c>
      <c r="B18" s="12" t="inlineStr">
        <is>
          <t>Submenu</t>
        </is>
      </c>
      <c r="C18" s="12" t="inlineStr">
        <is>
          <t>HRM</t>
        </is>
      </c>
      <c r="D18" s="11" t="inlineStr">
        <is>
          <t>Employee</t>
        </is>
      </c>
      <c r="E18" s="14" t="inlineStr">
        <is>
          <t>HRM / Users</t>
        </is>
      </c>
      <c r="F18" s="12" t="inlineStr">
        <is>
          <t>/employee</t>
        </is>
      </c>
      <c r="G18" s="28" t="inlineStr">
        <is>
          <t>HRM / Users, Master Data</t>
        </is>
      </c>
      <c r="H18" s="13" t="n">
        <v>11</v>
      </c>
      <c r="I18" s="13" t="n">
        <v>1</v>
      </c>
      <c r="J18" s="29" t="inlineStr">
        <is>
          <t>V/C/E/D</t>
        </is>
      </c>
      <c r="K18" s="27" t="inlineStr">
        <is>
          <t>-</t>
        </is>
      </c>
      <c r="L18" s="27" t="inlineStr">
        <is>
          <t>-</t>
        </is>
      </c>
      <c r="M18" s="27" t="inlineStr">
        <is>
          <t>-</t>
        </is>
      </c>
      <c r="N18" s="27" t="inlineStr">
        <is>
          <t>-</t>
        </is>
      </c>
      <c r="O18" s="30">
        <f>COUNTIF(J18:N18,"&lt;&gt;-")</f>
        <v/>
      </c>
      <c r="P18" s="31" t="inlineStr">
        <is>
          <t>Open</t>
        </is>
      </c>
      <c r="Q18" s="14" t="inlineStr"/>
    </row>
    <row r="19" ht="26" customHeight="1">
      <c r="A19" s="22" t="n">
        <v>15</v>
      </c>
      <c r="B19" s="8" t="inlineStr">
        <is>
          <t>Submenu</t>
        </is>
      </c>
      <c r="C19" s="8" t="inlineStr">
        <is>
          <t>HRM</t>
        </is>
      </c>
      <c r="D19" s="7" t="inlineStr">
        <is>
          <t>User</t>
        </is>
      </c>
      <c r="E19" s="5" t="inlineStr">
        <is>
          <t>HRM / Users</t>
        </is>
      </c>
      <c r="F19" s="8" t="inlineStr">
        <is>
          <t>/user</t>
        </is>
      </c>
      <c r="G19" s="23" t="inlineStr">
        <is>
          <t>HRM / Users</t>
        </is>
      </c>
      <c r="H19" s="9" t="n">
        <v>3</v>
      </c>
      <c r="I19" s="9" t="n">
        <v>1</v>
      </c>
      <c r="J19" s="24" t="inlineStr">
        <is>
          <t>V/C/E/D</t>
        </is>
      </c>
      <c r="K19" s="22" t="inlineStr">
        <is>
          <t>-</t>
        </is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5">
        <f>COUNTIF(J19:N19,"&lt;&gt;-")</f>
        <v/>
      </c>
      <c r="P19" s="31" t="inlineStr">
        <is>
          <t>Open</t>
        </is>
      </c>
      <c r="Q19" s="5" t="inlineStr">
        <is>
          <t>Only role in the product refused unauthenticated reads (401).</t>
        </is>
      </c>
    </row>
    <row r="20" ht="26" customHeight="1">
      <c r="A20" s="27" t="n">
        <v>16</v>
      </c>
      <c r="B20" s="12" t="inlineStr">
        <is>
          <t>Submenu</t>
        </is>
      </c>
      <c r="C20" s="12" t="inlineStr">
        <is>
          <t>HRM</t>
        </is>
      </c>
      <c r="D20" s="11" t="inlineStr">
        <is>
          <t>Roles</t>
        </is>
      </c>
      <c r="E20" s="14" t="inlineStr">
        <is>
          <t>HRM / Users</t>
        </is>
      </c>
      <c r="F20" s="12" t="inlineStr">
        <is>
          <t>/roles</t>
        </is>
      </c>
      <c r="G20" s="28" t="inlineStr">
        <is>
          <t>HRM / Users</t>
        </is>
      </c>
      <c r="H20" s="13" t="n">
        <v>4</v>
      </c>
      <c r="I20" s="13" t="n">
        <v>1</v>
      </c>
      <c r="J20" s="29" t="inlineStr">
        <is>
          <t>V/C/E/D</t>
        </is>
      </c>
      <c r="K20" s="27" t="inlineStr">
        <is>
          <t>-</t>
        </is>
      </c>
      <c r="L20" s="27" t="inlineStr">
        <is>
          <t>-</t>
        </is>
      </c>
      <c r="M20" s="27" t="inlineStr">
        <is>
          <t>-</t>
        </is>
      </c>
      <c r="N20" s="27" t="inlineStr">
        <is>
          <t>-</t>
        </is>
      </c>
      <c r="O20" s="30">
        <f>COUNTIF(J20:N20,"&lt;&gt;-")</f>
        <v/>
      </c>
      <c r="P20" s="31" t="inlineStr">
        <is>
          <t>Open</t>
        </is>
      </c>
      <c r="Q20" s="14" t="inlineStr">
        <is>
          <t>QA-DATA-001: 9 test-harness roles are visible on this screen.</t>
        </is>
      </c>
    </row>
    <row r="21" ht="26" customHeight="1">
      <c r="A21" s="22" t="n">
        <v>17</v>
      </c>
      <c r="B21" s="8" t="inlineStr">
        <is>
          <t>Submenu</t>
        </is>
      </c>
      <c r="C21" s="8" t="inlineStr">
        <is>
          <t>HRM</t>
        </is>
      </c>
      <c r="D21" s="7" t="inlineStr">
        <is>
          <t>Department</t>
        </is>
      </c>
      <c r="E21" s="5" t="inlineStr">
        <is>
          <t>HRM / Users</t>
        </is>
      </c>
      <c r="F21" s="8" t="inlineStr">
        <is>
          <t>/department</t>
        </is>
      </c>
      <c r="G21" s="23" t="inlineStr">
        <is>
          <t>HRM / Users</t>
        </is>
      </c>
      <c r="H21" s="9" t="n">
        <v>4</v>
      </c>
      <c r="I21" s="9" t="n">
        <v>1</v>
      </c>
      <c r="J21" s="24" t="inlineStr">
        <is>
          <t>V/C/E/D</t>
        </is>
      </c>
      <c r="K21" s="22" t="inlineStr">
        <is>
          <t>-</t>
        </is>
      </c>
      <c r="L21" s="22" t="inlineStr">
        <is>
          <t>-</t>
        </is>
      </c>
      <c r="M21" s="22" t="inlineStr">
        <is>
          <t>-</t>
        </is>
      </c>
      <c r="N21" s="22" t="inlineStr">
        <is>
          <t>-</t>
        </is>
      </c>
      <c r="O21" s="25">
        <f>COUNTIF(J21:N21,"&lt;&gt;-")</f>
        <v/>
      </c>
      <c r="P21" s="31" t="inlineStr">
        <is>
          <t>Open</t>
        </is>
      </c>
      <c r="Q21" s="5" t="inlineStr"/>
    </row>
    <row r="22" ht="26" customHeight="1">
      <c r="A22" s="27" t="n">
        <v>18</v>
      </c>
      <c r="B22" s="12" t="inlineStr">
        <is>
          <t>Submenu</t>
        </is>
      </c>
      <c r="C22" s="12" t="inlineStr">
        <is>
          <t>HRM</t>
        </is>
      </c>
      <c r="D22" s="11" t="inlineStr">
        <is>
          <t>Designation</t>
        </is>
      </c>
      <c r="E22" s="14" t="inlineStr">
        <is>
          <t>HRM / Users</t>
        </is>
      </c>
      <c r="F22" s="12" t="inlineStr">
        <is>
          <t>/designation</t>
        </is>
      </c>
      <c r="G22" s="28" t="inlineStr">
        <is>
          <t>HRM / Users</t>
        </is>
      </c>
      <c r="H22" s="13" t="n">
        <v>4</v>
      </c>
      <c r="I22" s="13" t="n">
        <v>1</v>
      </c>
      <c r="J22" s="29" t="inlineStr">
        <is>
          <t>V/C/E/D</t>
        </is>
      </c>
      <c r="K22" s="27" t="inlineStr">
        <is>
          <t>-</t>
        </is>
      </c>
      <c r="L22" s="27" t="inlineStr">
        <is>
          <t>-</t>
        </is>
      </c>
      <c r="M22" s="27" t="inlineStr">
        <is>
          <t>-</t>
        </is>
      </c>
      <c r="N22" s="27" t="inlineStr">
        <is>
          <t>-</t>
        </is>
      </c>
      <c r="O22" s="30">
        <f>COUNTIF(J22:N22,"&lt;&gt;-")</f>
        <v/>
      </c>
      <c r="P22" s="31" t="inlineStr">
        <is>
          <t>Open</t>
        </is>
      </c>
      <c r="Q22" s="14" t="inlineStr"/>
    </row>
    <row r="23" ht="26" customHeight="1">
      <c r="A23" s="22" t="n">
        <v>19</v>
      </c>
      <c r="B23" s="8" t="inlineStr">
        <is>
          <t>Submenu</t>
        </is>
      </c>
      <c r="C23" s="8" t="inlineStr">
        <is>
          <t>HRM</t>
        </is>
      </c>
      <c r="D23" s="7" t="inlineStr">
        <is>
          <t>Shift</t>
        </is>
      </c>
      <c r="E23" s="5" t="inlineStr">
        <is>
          <t>HRM / Users</t>
        </is>
      </c>
      <c r="F23" s="8" t="inlineStr">
        <is>
          <t>/shift</t>
        </is>
      </c>
      <c r="G23" s="23" t="inlineStr">
        <is>
          <t>HRM / Users</t>
        </is>
      </c>
      <c r="H23" s="9" t="n">
        <v>4</v>
      </c>
      <c r="I23" s="9" t="n">
        <v>1</v>
      </c>
      <c r="J23" s="24" t="inlineStr">
        <is>
          <t>V/C/E/D</t>
        </is>
      </c>
      <c r="K23" s="22" t="inlineStr">
        <is>
          <t>-</t>
        </is>
      </c>
      <c r="L23" s="22" t="inlineStr">
        <is>
          <t>-</t>
        </is>
      </c>
      <c r="M23" s="22" t="inlineStr">
        <is>
          <t>-</t>
        </is>
      </c>
      <c r="N23" s="22" t="inlineStr">
        <is>
          <t>-</t>
        </is>
      </c>
      <c r="O23" s="25">
        <f>COUNTIF(J23:N23,"&lt;&gt;-")</f>
        <v/>
      </c>
      <c r="P23" s="31" t="inlineStr">
        <is>
          <t>Open</t>
        </is>
      </c>
      <c r="Q23" s="5" t="inlineStr"/>
    </row>
    <row r="24" ht="26" customHeight="1">
      <c r="A24" s="27" t="n">
        <v>20</v>
      </c>
      <c r="B24" s="12" t="inlineStr">
        <is>
          <t>Submenu</t>
        </is>
      </c>
      <c r="C24" s="12" t="inlineStr">
        <is>
          <t>HRM</t>
        </is>
      </c>
      <c r="D24" s="11" t="inlineStr">
        <is>
          <t>Restaurant Roster</t>
        </is>
      </c>
      <c r="E24" s="14" t="inlineStr">
        <is>
          <t>HRM / Users</t>
        </is>
      </c>
      <c r="F24" s="12" t="inlineStr">
        <is>
          <t>/restaurant_roster</t>
        </is>
      </c>
      <c r="G24" s="28" t="inlineStr">
        <is>
          <t>HRM / Users, Restaurant (F&amp;B)</t>
        </is>
      </c>
      <c r="H24" s="13" t="n">
        <v>5</v>
      </c>
      <c r="I24" s="13" t="n">
        <v>1</v>
      </c>
      <c r="J24" s="29" t="inlineStr">
        <is>
          <t>V/C/E/D</t>
        </is>
      </c>
      <c r="K24" s="27" t="inlineStr">
        <is>
          <t>-</t>
        </is>
      </c>
      <c r="L24" s="27" t="inlineStr">
        <is>
          <t>-</t>
        </is>
      </c>
      <c r="M24" s="27" t="inlineStr">
        <is>
          <t>-</t>
        </is>
      </c>
      <c r="N24" s="27" t="inlineStr">
        <is>
          <t>-</t>
        </is>
      </c>
      <c r="O24" s="30">
        <f>COUNTIF(J24:N24,"&lt;&gt;-")</f>
        <v/>
      </c>
      <c r="P24" s="31" t="inlineStr">
        <is>
          <t>Open</t>
        </is>
      </c>
      <c r="Q24" s="14" t="inlineStr"/>
    </row>
    <row r="25" ht="26" customHeight="1">
      <c r="A25" s="22" t="n">
        <v>21</v>
      </c>
      <c r="B25" s="8" t="inlineStr">
        <is>
          <t>Submenu</t>
        </is>
      </c>
      <c r="C25" s="8" t="inlineStr">
        <is>
          <t>HRM</t>
        </is>
      </c>
      <c r="D25" s="7" t="inlineStr">
        <is>
          <t>Restaurant Shift Planning</t>
        </is>
      </c>
      <c r="E25" s="5" t="inlineStr">
        <is>
          <t>HRM / Users</t>
        </is>
      </c>
      <c r="F25" s="8" t="inlineStr">
        <is>
          <t>/restaurant_shift_planning</t>
        </is>
      </c>
      <c r="G25" s="23" t="inlineStr">
        <is>
          <t>HRM / Users, Restaurant (F&amp;B)</t>
        </is>
      </c>
      <c r="H25" s="9" t="n">
        <v>9</v>
      </c>
      <c r="I25" s="9" t="n">
        <v>1</v>
      </c>
      <c r="J25" s="24" t="inlineStr">
        <is>
          <t>V/C/E/D</t>
        </is>
      </c>
      <c r="K25" s="22" t="inlineStr">
        <is>
          <t>-</t>
        </is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5">
        <f>COUNTIF(J25:N25,"&lt;&gt;-")</f>
        <v/>
      </c>
      <c r="P25" s="31" t="inlineStr">
        <is>
          <t>Open</t>
        </is>
      </c>
      <c r="Q25" s="5" t="inlineStr"/>
    </row>
    <row r="26" ht="26" customHeight="1">
      <c r="A26" s="27" t="n">
        <v>22</v>
      </c>
      <c r="B26" s="12" t="inlineStr">
        <is>
          <t>Submenu</t>
        </is>
      </c>
      <c r="C26" s="12" t="inlineStr">
        <is>
          <t>HRM</t>
        </is>
      </c>
      <c r="D26" s="11" t="inlineStr">
        <is>
          <t>Bar Roster</t>
        </is>
      </c>
      <c r="E26" s="14" t="inlineStr">
        <is>
          <t>HRM / Users</t>
        </is>
      </c>
      <c r="F26" s="12" t="inlineStr">
        <is>
          <t>/bar_roster</t>
        </is>
      </c>
      <c r="G26" s="28" t="inlineStr">
        <is>
          <t>Bar, HRM / Users</t>
        </is>
      </c>
      <c r="H26" s="13" t="n">
        <v>5</v>
      </c>
      <c r="I26" s="13" t="n">
        <v>1</v>
      </c>
      <c r="J26" s="29" t="inlineStr">
        <is>
          <t>V/C/E/D</t>
        </is>
      </c>
      <c r="K26" s="27" t="inlineStr">
        <is>
          <t>-</t>
        </is>
      </c>
      <c r="L26" s="27" t="inlineStr">
        <is>
          <t>-</t>
        </is>
      </c>
      <c r="M26" s="27" t="inlineStr">
        <is>
          <t>-</t>
        </is>
      </c>
      <c r="N26" s="27" t="inlineStr">
        <is>
          <t>-</t>
        </is>
      </c>
      <c r="O26" s="30">
        <f>COUNTIF(J26:N26,"&lt;&gt;-")</f>
        <v/>
      </c>
      <c r="P26" s="31" t="inlineStr">
        <is>
          <t>Open</t>
        </is>
      </c>
      <c r="Q26" s="14" t="inlineStr"/>
    </row>
    <row r="27" ht="26" customHeight="1">
      <c r="A27" s="22" t="n">
        <v>23</v>
      </c>
      <c r="B27" s="8" t="inlineStr">
        <is>
          <t>Submenu</t>
        </is>
      </c>
      <c r="C27" s="8" t="inlineStr">
        <is>
          <t>HRM</t>
        </is>
      </c>
      <c r="D27" s="7" t="inlineStr">
        <is>
          <t>Bar Shift Planning</t>
        </is>
      </c>
      <c r="E27" s="5" t="inlineStr">
        <is>
          <t>HRM / Users</t>
        </is>
      </c>
      <c r="F27" s="8" t="inlineStr">
        <is>
          <t>/bar_shift_planning</t>
        </is>
      </c>
      <c r="G27" s="23" t="inlineStr">
        <is>
          <t>Bar, HRM / Users</t>
        </is>
      </c>
      <c r="H27" s="9" t="n">
        <v>9</v>
      </c>
      <c r="I27" s="9" t="n">
        <v>1</v>
      </c>
      <c r="J27" s="24" t="inlineStr">
        <is>
          <t>V/C/E/D</t>
        </is>
      </c>
      <c r="K27" s="22" t="inlineStr">
        <is>
          <t>-</t>
        </is>
      </c>
      <c r="L27" s="22" t="inlineStr">
        <is>
          <t>-</t>
        </is>
      </c>
      <c r="M27" s="22" t="inlineStr">
        <is>
          <t>-</t>
        </is>
      </c>
      <c r="N27" s="22" t="inlineStr">
        <is>
          <t>-</t>
        </is>
      </c>
      <c r="O27" s="25">
        <f>COUNTIF(J27:N27,"&lt;&gt;-")</f>
        <v/>
      </c>
      <c r="P27" s="31" t="inlineStr">
        <is>
          <t>Open</t>
        </is>
      </c>
      <c r="Q27" s="5" t="inlineStr"/>
    </row>
    <row r="28" ht="26" customHeight="1">
      <c r="A28" s="27" t="n">
        <v>24</v>
      </c>
      <c r="B28" s="12" t="inlineStr">
        <is>
          <t>Submenu</t>
        </is>
      </c>
      <c r="C28" s="12" t="inlineStr">
        <is>
          <t>Restaurant</t>
        </is>
      </c>
      <c r="D28" s="11" t="inlineStr">
        <is>
          <t>Menu Management</t>
        </is>
      </c>
      <c r="E28" s="14" t="inlineStr">
        <is>
          <t>Restaurant (F&amp;B)</t>
        </is>
      </c>
      <c r="F28" s="12" t="inlineStr">
        <is>
          <t>/menus</t>
        </is>
      </c>
      <c r="G28" s="28" t="inlineStr">
        <is>
          <t>Restaurant (F&amp;B)</t>
        </is>
      </c>
      <c r="H28" s="13" t="n">
        <v>16</v>
      </c>
      <c r="I28" s="13" t="n">
        <v>2</v>
      </c>
      <c r="J28" s="29" t="inlineStr">
        <is>
          <t>V/C/E/D</t>
        </is>
      </c>
      <c r="K28" s="27" t="inlineStr">
        <is>
          <t>-</t>
        </is>
      </c>
      <c r="L28" s="27" t="inlineStr">
        <is>
          <t>-</t>
        </is>
      </c>
      <c r="M28" s="27" t="inlineStr">
        <is>
          <t>-</t>
        </is>
      </c>
      <c r="N28" s="29" t="inlineStr">
        <is>
          <t>V/C/E</t>
        </is>
      </c>
      <c r="O28" s="30">
        <f>COUNTIF(J28:N28,"&lt;&gt;-")</f>
        <v/>
      </c>
      <c r="P28" s="26" t="inlineStr">
        <is>
          <t>Fixed in source</t>
        </is>
      </c>
      <c r="Q28" s="14" t="inlineStr"/>
    </row>
    <row r="29" ht="26" customHeight="1">
      <c r="A29" s="22" t="n">
        <v>25</v>
      </c>
      <c r="B29" s="8" t="inlineStr">
        <is>
          <t>Submenu</t>
        </is>
      </c>
      <c r="C29" s="8" t="inlineStr">
        <is>
          <t>Restaurant</t>
        </is>
      </c>
      <c r="D29" s="7" t="inlineStr">
        <is>
          <t>Combo / Package Deals</t>
        </is>
      </c>
      <c r="E29" s="5" t="inlineStr">
        <is>
          <t>Restaurant (F&amp;B)</t>
        </is>
      </c>
      <c r="F29" s="8" t="inlineStr">
        <is>
          <t>/combo_deals</t>
        </is>
      </c>
      <c r="G29" s="23" t="inlineStr">
        <is>
          <t>Restaurant (F&amp;B)</t>
        </is>
      </c>
      <c r="H29" s="9" t="n">
        <v>5</v>
      </c>
      <c r="I29" s="9" t="n">
        <v>2</v>
      </c>
      <c r="J29" s="24" t="inlineStr">
        <is>
          <t>V/C/E/D</t>
        </is>
      </c>
      <c r="K29" s="22" t="inlineStr">
        <is>
          <t>-</t>
        </is>
      </c>
      <c r="L29" s="22" t="inlineStr">
        <is>
          <t>-</t>
        </is>
      </c>
      <c r="M29" s="22" t="inlineStr">
        <is>
          <t>-</t>
        </is>
      </c>
      <c r="N29" s="24" t="inlineStr">
        <is>
          <t>V/C/E</t>
        </is>
      </c>
      <c r="O29" s="25">
        <f>COUNTIF(J29:N29,"&lt;&gt;-")</f>
        <v/>
      </c>
      <c r="P29" s="26" t="inlineStr">
        <is>
          <t>Fixed in source</t>
        </is>
      </c>
      <c r="Q29" s="5" t="inlineStr"/>
    </row>
    <row r="30" ht="26" customHeight="1">
      <c r="A30" s="27" t="n">
        <v>26</v>
      </c>
      <c r="B30" s="12" t="inlineStr">
        <is>
          <t>Submenu</t>
        </is>
      </c>
      <c r="C30" s="12" t="inlineStr">
        <is>
          <t>Restaurant</t>
        </is>
      </c>
      <c r="D30" s="11" t="inlineStr">
        <is>
          <t>Floor Layout</t>
        </is>
      </c>
      <c r="E30" s="14" t="inlineStr">
        <is>
          <t>Restaurant (F&amp;B)</t>
        </is>
      </c>
      <c r="F30" s="12" t="inlineStr">
        <is>
          <t>/floor_layout</t>
        </is>
      </c>
      <c r="G30" s="28" t="inlineStr">
        <is>
          <t>Restaurant (F&amp;B)</t>
        </is>
      </c>
      <c r="H30" s="13" t="n">
        <v>4</v>
      </c>
      <c r="I30" s="13" t="n">
        <v>2</v>
      </c>
      <c r="J30" s="29" t="inlineStr">
        <is>
          <t>V/C/E/D</t>
        </is>
      </c>
      <c r="K30" s="27" t="inlineStr">
        <is>
          <t>-</t>
        </is>
      </c>
      <c r="L30" s="27" t="inlineStr">
        <is>
          <t>-</t>
        </is>
      </c>
      <c r="M30" s="27" t="inlineStr">
        <is>
          <t>-</t>
        </is>
      </c>
      <c r="N30" s="29" t="inlineStr">
        <is>
          <t>V/C/E</t>
        </is>
      </c>
      <c r="O30" s="30">
        <f>COUNTIF(J30:N30,"&lt;&gt;-")</f>
        <v/>
      </c>
      <c r="P30" s="26" t="inlineStr">
        <is>
          <t>Fixed in source</t>
        </is>
      </c>
      <c r="Q30" s="14" t="inlineStr"/>
    </row>
    <row r="31" ht="26" customHeight="1">
      <c r="A31" s="22" t="n">
        <v>27</v>
      </c>
      <c r="B31" s="8" t="inlineStr">
        <is>
          <t>Submenu</t>
        </is>
      </c>
      <c r="C31" s="8" t="inlineStr">
        <is>
          <t>Restaurant</t>
        </is>
      </c>
      <c r="D31" s="7" t="inlineStr">
        <is>
          <t>Table Master</t>
        </is>
      </c>
      <c r="E31" s="5" t="inlineStr">
        <is>
          <t>Restaurant (F&amp;B)</t>
        </is>
      </c>
      <c r="F31" s="8" t="inlineStr">
        <is>
          <t>/table_master</t>
        </is>
      </c>
      <c r="G31" s="23" t="inlineStr">
        <is>
          <t>Restaurant (F&amp;B)</t>
        </is>
      </c>
      <c r="H31" s="9" t="n">
        <v>5</v>
      </c>
      <c r="I31" s="9" t="n">
        <v>2</v>
      </c>
      <c r="J31" s="24" t="inlineStr">
        <is>
          <t>V/C/E/D</t>
        </is>
      </c>
      <c r="K31" s="22" t="inlineStr">
        <is>
          <t>-</t>
        </is>
      </c>
      <c r="L31" s="22" t="inlineStr">
        <is>
          <t>-</t>
        </is>
      </c>
      <c r="M31" s="22" t="inlineStr">
        <is>
          <t>-</t>
        </is>
      </c>
      <c r="N31" s="24" t="inlineStr">
        <is>
          <t>V/C/E</t>
        </is>
      </c>
      <c r="O31" s="25">
        <f>COUNTIF(J31:N31,"&lt;&gt;-")</f>
        <v/>
      </c>
      <c r="P31" s="26" t="inlineStr">
        <is>
          <t>Fixed in source</t>
        </is>
      </c>
      <c r="Q31" s="5" t="inlineStr"/>
    </row>
    <row r="32" ht="26" customHeight="1">
      <c r="A32" s="27" t="n">
        <v>28</v>
      </c>
      <c r="B32" s="12" t="inlineStr">
        <is>
          <t>Submenu</t>
        </is>
      </c>
      <c r="C32" s="12" t="inlineStr">
        <is>
          <t>Restaurant</t>
        </is>
      </c>
      <c r="D32" s="11" t="inlineStr">
        <is>
          <t>Order Management</t>
        </is>
      </c>
      <c r="E32" s="14" t="inlineStr">
        <is>
          <t>Restaurant (F&amp;B)</t>
        </is>
      </c>
      <c r="F32" s="12" t="inlineStr">
        <is>
          <t>/orders</t>
        </is>
      </c>
      <c r="G32" s="28" t="inlineStr">
        <is>
          <t>Restaurant (F&amp;B)</t>
        </is>
      </c>
      <c r="H32" s="13" t="n">
        <v>9</v>
      </c>
      <c r="I32" s="13" t="n">
        <v>2</v>
      </c>
      <c r="J32" s="29" t="inlineStr">
        <is>
          <t>V/C/E/D</t>
        </is>
      </c>
      <c r="K32" s="27" t="inlineStr">
        <is>
          <t>-</t>
        </is>
      </c>
      <c r="L32" s="27" t="inlineStr">
        <is>
          <t>-</t>
        </is>
      </c>
      <c r="M32" s="27" t="inlineStr">
        <is>
          <t>-</t>
        </is>
      </c>
      <c r="N32" s="29" t="inlineStr">
        <is>
          <t>V/C/E</t>
        </is>
      </c>
      <c r="O32" s="30">
        <f>COUNTIF(J32:N32,"&lt;&gt;-")</f>
        <v/>
      </c>
      <c r="P32" s="26" t="inlineStr">
        <is>
          <t>Fixed in source</t>
        </is>
      </c>
      <c r="Q32" s="14" t="inlineStr"/>
    </row>
    <row r="33" ht="26" customHeight="1">
      <c r="A33" s="22" t="n">
        <v>29</v>
      </c>
      <c r="B33" s="8" t="inlineStr">
        <is>
          <t>Submenu</t>
        </is>
      </c>
      <c r="C33" s="8" t="inlineStr">
        <is>
          <t>Restaurant</t>
        </is>
      </c>
      <c r="D33" s="7" t="inlineStr">
        <is>
          <t>Table Reservation</t>
        </is>
      </c>
      <c r="E33" s="5" t="inlineStr">
        <is>
          <t>Restaurant (F&amp;B)</t>
        </is>
      </c>
      <c r="F33" s="8" t="inlineStr">
        <is>
          <t>/table_reservation</t>
        </is>
      </c>
      <c r="G33" s="23" t="inlineStr">
        <is>
          <t>Restaurant (F&amp;B)</t>
        </is>
      </c>
      <c r="H33" s="9" t="n">
        <v>4</v>
      </c>
      <c r="I33" s="9" t="n">
        <v>2</v>
      </c>
      <c r="J33" s="24" t="inlineStr">
        <is>
          <t>V/C/E/D</t>
        </is>
      </c>
      <c r="K33" s="22" t="inlineStr">
        <is>
          <t>-</t>
        </is>
      </c>
      <c r="L33" s="22" t="inlineStr">
        <is>
          <t>-</t>
        </is>
      </c>
      <c r="M33" s="22" t="inlineStr">
        <is>
          <t>-</t>
        </is>
      </c>
      <c r="N33" s="24" t="inlineStr">
        <is>
          <t>V/C/E</t>
        </is>
      </c>
      <c r="O33" s="25">
        <f>COUNTIF(J33:N33,"&lt;&gt;-")</f>
        <v/>
      </c>
      <c r="P33" s="26" t="inlineStr">
        <is>
          <t>Fixed in source</t>
        </is>
      </c>
      <c r="Q33" s="5" t="inlineStr"/>
    </row>
    <row r="34" ht="26" customHeight="1">
      <c r="A34" s="27" t="n">
        <v>30</v>
      </c>
      <c r="B34" s="12" t="inlineStr">
        <is>
          <t>Submenu</t>
        </is>
      </c>
      <c r="C34" s="12" t="inlineStr">
        <is>
          <t>Restaurant</t>
        </is>
      </c>
      <c r="D34" s="11" t="inlineStr">
        <is>
          <t>Main Kitchen</t>
        </is>
      </c>
      <c r="E34" s="14" t="inlineStr">
        <is>
          <t>Restaurant (F&amp;B)</t>
        </is>
      </c>
      <c r="F34" s="12" t="inlineStr">
        <is>
          <t>/kot/main_kitchen</t>
        </is>
      </c>
      <c r="G34" s="28" t="inlineStr">
        <is>
          <t>Restaurant (F&amp;B)</t>
        </is>
      </c>
      <c r="H34" s="13" t="n">
        <v>6</v>
      </c>
      <c r="I34" s="13" t="n">
        <v>2</v>
      </c>
      <c r="J34" s="29" t="inlineStr">
        <is>
          <t>V/C/E/D</t>
        </is>
      </c>
      <c r="K34" s="27" t="inlineStr">
        <is>
          <t>-</t>
        </is>
      </c>
      <c r="L34" s="27" t="inlineStr">
        <is>
          <t>-</t>
        </is>
      </c>
      <c r="M34" s="27" t="inlineStr">
        <is>
          <t>-</t>
        </is>
      </c>
      <c r="N34" s="29" t="inlineStr">
        <is>
          <t>V/C/E</t>
        </is>
      </c>
      <c r="O34" s="30">
        <f>COUNTIF(J34:N34,"&lt;&gt;-")</f>
        <v/>
      </c>
      <c r="P34" s="26" t="inlineStr">
        <is>
          <t>Fixed in source</t>
        </is>
      </c>
      <c r="Q34" s="14" t="inlineStr"/>
    </row>
    <row r="35" ht="26" customHeight="1">
      <c r="A35" s="22" t="n">
        <v>31</v>
      </c>
      <c r="B35" s="8" t="inlineStr">
        <is>
          <t>Submenu</t>
        </is>
      </c>
      <c r="C35" s="8" t="inlineStr">
        <is>
          <t>Restaurant</t>
        </is>
      </c>
      <c r="D35" s="7" t="inlineStr">
        <is>
          <t>Grill Kitchen</t>
        </is>
      </c>
      <c r="E35" s="5" t="inlineStr">
        <is>
          <t>Restaurant (F&amp;B)</t>
        </is>
      </c>
      <c r="F35" s="8" t="inlineStr">
        <is>
          <t>/kot/grill</t>
        </is>
      </c>
      <c r="G35" s="23" t="inlineStr">
        <is>
          <t>Restaurant (F&amp;B)</t>
        </is>
      </c>
      <c r="H35" s="9" t="n">
        <v>6</v>
      </c>
      <c r="I35" s="9" t="n">
        <v>2</v>
      </c>
      <c r="J35" s="24" t="inlineStr">
        <is>
          <t>V/C/E/D</t>
        </is>
      </c>
      <c r="K35" s="22" t="inlineStr">
        <is>
          <t>-</t>
        </is>
      </c>
      <c r="L35" s="22" t="inlineStr">
        <is>
          <t>-</t>
        </is>
      </c>
      <c r="M35" s="22" t="inlineStr">
        <is>
          <t>-</t>
        </is>
      </c>
      <c r="N35" s="24" t="inlineStr">
        <is>
          <t>V/C/E</t>
        </is>
      </c>
      <c r="O35" s="25">
        <f>COUNTIF(J35:N35,"&lt;&gt;-")</f>
        <v/>
      </c>
      <c r="P35" s="26" t="inlineStr">
        <is>
          <t>Fixed in source</t>
        </is>
      </c>
      <c r="Q35" s="5" t="inlineStr"/>
    </row>
    <row r="36" ht="26" customHeight="1">
      <c r="A36" s="27" t="n">
        <v>32</v>
      </c>
      <c r="B36" s="12" t="inlineStr">
        <is>
          <t>Submenu</t>
        </is>
      </c>
      <c r="C36" s="12" t="inlineStr">
        <is>
          <t>Restaurant</t>
        </is>
      </c>
      <c r="D36" s="11" t="inlineStr">
        <is>
          <t>Dessert Kitchen</t>
        </is>
      </c>
      <c r="E36" s="14" t="inlineStr">
        <is>
          <t>Restaurant (F&amp;B)</t>
        </is>
      </c>
      <c r="F36" s="12" t="inlineStr">
        <is>
          <t>/kot/dessert</t>
        </is>
      </c>
      <c r="G36" s="28" t="inlineStr">
        <is>
          <t>Restaurant (F&amp;B)</t>
        </is>
      </c>
      <c r="H36" s="13" t="n">
        <v>6</v>
      </c>
      <c r="I36" s="13" t="n">
        <v>2</v>
      </c>
      <c r="J36" s="29" t="inlineStr">
        <is>
          <t>V/C/E/D</t>
        </is>
      </c>
      <c r="K36" s="27" t="inlineStr">
        <is>
          <t>-</t>
        </is>
      </c>
      <c r="L36" s="27" t="inlineStr">
        <is>
          <t>-</t>
        </is>
      </c>
      <c r="M36" s="27" t="inlineStr">
        <is>
          <t>-</t>
        </is>
      </c>
      <c r="N36" s="29" t="inlineStr">
        <is>
          <t>V/C/E</t>
        </is>
      </c>
      <c r="O36" s="30">
        <f>COUNTIF(J36:N36,"&lt;&gt;-")</f>
        <v/>
      </c>
      <c r="P36" s="26" t="inlineStr">
        <is>
          <t>Fixed in source</t>
        </is>
      </c>
      <c r="Q36" s="14" t="inlineStr"/>
    </row>
    <row r="37" ht="26" customHeight="1">
      <c r="A37" s="22" t="n">
        <v>33</v>
      </c>
      <c r="B37" s="8" t="inlineStr">
        <is>
          <t>Submenu</t>
        </is>
      </c>
      <c r="C37" s="8" t="inlineStr">
        <is>
          <t>Restaurant</t>
        </is>
      </c>
      <c r="D37" s="7" t="inlineStr">
        <is>
          <t>Billing &amp; Payments</t>
        </is>
      </c>
      <c r="E37" s="5" t="inlineStr">
        <is>
          <t>Restaurant (F&amp;B)</t>
        </is>
      </c>
      <c r="F37" s="8" t="inlineStr">
        <is>
          <t>/billing_payments</t>
        </is>
      </c>
      <c r="G37" s="23" t="inlineStr">
        <is>
          <t>Restaurant (F&amp;B)</t>
        </is>
      </c>
      <c r="H37" s="9" t="n">
        <v>9</v>
      </c>
      <c r="I37" s="9" t="n">
        <v>2</v>
      </c>
      <c r="J37" s="24" t="inlineStr">
        <is>
          <t>V/C/E/D</t>
        </is>
      </c>
      <c r="K37" s="22" t="inlineStr">
        <is>
          <t>-</t>
        </is>
      </c>
      <c r="L37" s="22" t="inlineStr">
        <is>
          <t>-</t>
        </is>
      </c>
      <c r="M37" s="22" t="inlineStr">
        <is>
          <t>-</t>
        </is>
      </c>
      <c r="N37" s="24" t="inlineStr">
        <is>
          <t>V/C/E</t>
        </is>
      </c>
      <c r="O37" s="25">
        <f>COUNTIF(J37:N37,"&lt;&gt;-")</f>
        <v/>
      </c>
      <c r="P37" s="26" t="inlineStr">
        <is>
          <t>Fixed in source</t>
        </is>
      </c>
      <c r="Q37" s="5" t="inlineStr"/>
    </row>
    <row r="38" ht="26" customHeight="1">
      <c r="A38" s="27" t="n">
        <v>34</v>
      </c>
      <c r="B38" s="12" t="inlineStr">
        <is>
          <t>Submenu</t>
        </is>
      </c>
      <c r="C38" s="12" t="inlineStr">
        <is>
          <t>Restaurant</t>
        </is>
      </c>
      <c r="D38" s="11" t="inlineStr">
        <is>
          <t>Inventory Control</t>
        </is>
      </c>
      <c r="E38" s="14" t="inlineStr">
        <is>
          <t>Restaurant (F&amp;B)</t>
        </is>
      </c>
      <c r="F38" s="12" t="inlineStr">
        <is>
          <t>/stock</t>
        </is>
      </c>
      <c r="G38" s="28" t="inlineStr">
        <is>
          <t>Restaurant (F&amp;B)</t>
        </is>
      </c>
      <c r="H38" s="13" t="n">
        <v>5</v>
      </c>
      <c r="I38" s="13" t="n">
        <v>2</v>
      </c>
      <c r="J38" s="29" t="inlineStr">
        <is>
          <t>V/C/E/D</t>
        </is>
      </c>
      <c r="K38" s="27" t="inlineStr">
        <is>
          <t>-</t>
        </is>
      </c>
      <c r="L38" s="27" t="inlineStr">
        <is>
          <t>-</t>
        </is>
      </c>
      <c r="M38" s="27" t="inlineStr">
        <is>
          <t>-</t>
        </is>
      </c>
      <c r="N38" s="29" t="inlineStr">
        <is>
          <t>V/C/E</t>
        </is>
      </c>
      <c r="O38" s="30">
        <f>COUNTIF(J38:N38,"&lt;&gt;-")</f>
        <v/>
      </c>
      <c r="P38" s="26" t="inlineStr">
        <is>
          <t>Fixed in source</t>
        </is>
      </c>
      <c r="Q38" s="14" t="inlineStr"/>
    </row>
    <row r="39" ht="26" customHeight="1">
      <c r="A39" s="22" t="n">
        <v>35</v>
      </c>
      <c r="B39" s="8" t="inlineStr">
        <is>
          <t>Submenu</t>
        </is>
      </c>
      <c r="C39" s="8" t="inlineStr">
        <is>
          <t>Restaurant</t>
        </is>
      </c>
      <c r="D39" s="7" t="inlineStr">
        <is>
          <t>Recipe Management</t>
        </is>
      </c>
      <c r="E39" s="5" t="inlineStr">
        <is>
          <t>Restaurant (F&amp;B)</t>
        </is>
      </c>
      <c r="F39" s="8" t="inlineStr">
        <is>
          <t>/recipe_management</t>
        </is>
      </c>
      <c r="G39" s="23" t="inlineStr">
        <is>
          <t>Restaurant (F&amp;B)</t>
        </is>
      </c>
      <c r="H39" s="9" t="n">
        <v>6</v>
      </c>
      <c r="I39" s="9" t="n">
        <v>2</v>
      </c>
      <c r="J39" s="24" t="inlineStr">
        <is>
          <t>V/C/E/D</t>
        </is>
      </c>
      <c r="K39" s="22" t="inlineStr">
        <is>
          <t>-</t>
        </is>
      </c>
      <c r="L39" s="22" t="inlineStr">
        <is>
          <t>-</t>
        </is>
      </c>
      <c r="M39" s="22" t="inlineStr">
        <is>
          <t>-</t>
        </is>
      </c>
      <c r="N39" s="24" t="inlineStr">
        <is>
          <t>V/C/E</t>
        </is>
      </c>
      <c r="O39" s="25">
        <f>COUNTIF(J39:N39,"&lt;&gt;-")</f>
        <v/>
      </c>
      <c r="P39" s="26" t="inlineStr">
        <is>
          <t>Fixed in source</t>
        </is>
      </c>
      <c r="Q39" s="5" t="inlineStr"/>
    </row>
    <row r="40" ht="26" customHeight="1">
      <c r="A40" s="27" t="n">
        <v>36</v>
      </c>
      <c r="B40" s="12" t="inlineStr">
        <is>
          <t>Submenu</t>
        </is>
      </c>
      <c r="C40" s="12" t="inlineStr">
        <is>
          <t>Restaurant</t>
        </is>
      </c>
      <c r="D40" s="11" t="inlineStr">
        <is>
          <t>Guest Management</t>
        </is>
      </c>
      <c r="E40" s="14" t="inlineStr">
        <is>
          <t>Restaurant (F&amp;B)</t>
        </is>
      </c>
      <c r="F40" s="12" t="inlineStr">
        <is>
          <t>/guest_management</t>
        </is>
      </c>
      <c r="G40" s="28" t="inlineStr">
        <is>
          <t>Restaurant (F&amp;B)</t>
        </is>
      </c>
      <c r="H40" s="13" t="n">
        <v>8</v>
      </c>
      <c r="I40" s="13" t="n">
        <v>2</v>
      </c>
      <c r="J40" s="29" t="inlineStr">
        <is>
          <t>V/C/E/D</t>
        </is>
      </c>
      <c r="K40" s="27" t="inlineStr">
        <is>
          <t>-</t>
        </is>
      </c>
      <c r="L40" s="27" t="inlineStr">
        <is>
          <t>-</t>
        </is>
      </c>
      <c r="M40" s="27" t="inlineStr">
        <is>
          <t>-</t>
        </is>
      </c>
      <c r="N40" s="29" t="inlineStr">
        <is>
          <t>V/C/E</t>
        </is>
      </c>
      <c r="O40" s="30">
        <f>COUNTIF(J40:N40,"&lt;&gt;-")</f>
        <v/>
      </c>
      <c r="P40" s="26" t="inlineStr">
        <is>
          <t>Fixed in source</t>
        </is>
      </c>
      <c r="Q40" s="14" t="inlineStr"/>
    </row>
    <row r="41" ht="26" customHeight="1">
      <c r="A41" s="22" t="n">
        <v>37</v>
      </c>
      <c r="B41" s="8" t="inlineStr">
        <is>
          <t>Submenu</t>
        </is>
      </c>
      <c r="C41" s="8" t="inlineStr">
        <is>
          <t>Restaurant</t>
        </is>
      </c>
      <c r="D41" s="7" t="inlineStr">
        <is>
          <t>Report &amp; Analytics</t>
        </is>
      </c>
      <c r="E41" s="5" t="inlineStr">
        <is>
          <t>Restaurant (F&amp;B)</t>
        </is>
      </c>
      <c r="F41" s="8" t="inlineStr">
        <is>
          <t>/reports_analytics</t>
        </is>
      </c>
      <c r="G41" s="23" t="inlineStr">
        <is>
          <t>Restaurant (F&amp;B)</t>
        </is>
      </c>
      <c r="H41" s="9" t="n">
        <v>8</v>
      </c>
      <c r="I41" s="9" t="n">
        <v>2</v>
      </c>
      <c r="J41" s="24" t="inlineStr">
        <is>
          <t>V/C/E/D</t>
        </is>
      </c>
      <c r="K41" s="22" t="inlineStr">
        <is>
          <t>-</t>
        </is>
      </c>
      <c r="L41" s="22" t="inlineStr">
        <is>
          <t>-</t>
        </is>
      </c>
      <c r="M41" s="22" t="inlineStr">
        <is>
          <t>-</t>
        </is>
      </c>
      <c r="N41" s="24" t="inlineStr">
        <is>
          <t>V/C/E</t>
        </is>
      </c>
      <c r="O41" s="25">
        <f>COUNTIF(J41:N41,"&lt;&gt;-")</f>
        <v/>
      </c>
      <c r="P41" s="26" t="inlineStr">
        <is>
          <t>Fixed in source</t>
        </is>
      </c>
      <c r="Q41" s="5" t="inlineStr"/>
    </row>
    <row r="42" ht="26" customHeight="1">
      <c r="A42" s="27" t="n">
        <v>38</v>
      </c>
      <c r="B42" s="12" t="inlineStr">
        <is>
          <t>Submenu</t>
        </is>
      </c>
      <c r="C42" s="12" t="inlineStr">
        <is>
          <t>Bar</t>
        </is>
      </c>
      <c r="D42" s="11" t="inlineStr">
        <is>
          <t>Menu Management</t>
        </is>
      </c>
      <c r="E42" s="14" t="inlineStr">
        <is>
          <t>Bar</t>
        </is>
      </c>
      <c r="F42" s="12" t="inlineStr">
        <is>
          <t>/bar_menus</t>
        </is>
      </c>
      <c r="G42" s="28" t="inlineStr">
        <is>
          <t>Bar</t>
        </is>
      </c>
      <c r="H42" s="13" t="n">
        <v>16</v>
      </c>
      <c r="I42" s="13" t="n">
        <v>2</v>
      </c>
      <c r="J42" s="29" t="inlineStr">
        <is>
          <t>V/C/E/D</t>
        </is>
      </c>
      <c r="K42" s="27" t="inlineStr">
        <is>
          <t>-</t>
        </is>
      </c>
      <c r="L42" s="27" t="inlineStr">
        <is>
          <t>-</t>
        </is>
      </c>
      <c r="M42" s="27" t="inlineStr">
        <is>
          <t>-</t>
        </is>
      </c>
      <c r="N42" s="29" t="inlineStr">
        <is>
          <t>V/C/E</t>
        </is>
      </c>
      <c r="O42" s="30">
        <f>COUNTIF(J42:N42,"&lt;&gt;-")</f>
        <v/>
      </c>
      <c r="P42" s="26" t="inlineStr">
        <is>
          <t>Fixed in source</t>
        </is>
      </c>
      <c r="Q42" s="14" t="inlineStr"/>
    </row>
    <row r="43" ht="26" customHeight="1">
      <c r="A43" s="22" t="n">
        <v>39</v>
      </c>
      <c r="B43" s="8" t="inlineStr">
        <is>
          <t>Submenu</t>
        </is>
      </c>
      <c r="C43" s="8" t="inlineStr">
        <is>
          <t>Bar</t>
        </is>
      </c>
      <c r="D43" s="7" t="inlineStr">
        <is>
          <t>Floor Layout</t>
        </is>
      </c>
      <c r="E43" s="5" t="inlineStr">
        <is>
          <t>Bar</t>
        </is>
      </c>
      <c r="F43" s="8" t="inlineStr">
        <is>
          <t>/bar_floor_layout</t>
        </is>
      </c>
      <c r="G43" s="23" t="inlineStr">
        <is>
          <t>Bar</t>
        </is>
      </c>
      <c r="H43" s="9" t="n">
        <v>4</v>
      </c>
      <c r="I43" s="9" t="n">
        <v>2</v>
      </c>
      <c r="J43" s="24" t="inlineStr">
        <is>
          <t>V/C/E/D</t>
        </is>
      </c>
      <c r="K43" s="22" t="inlineStr">
        <is>
          <t>-</t>
        </is>
      </c>
      <c r="L43" s="22" t="inlineStr">
        <is>
          <t>-</t>
        </is>
      </c>
      <c r="M43" s="22" t="inlineStr">
        <is>
          <t>-</t>
        </is>
      </c>
      <c r="N43" s="24" t="inlineStr">
        <is>
          <t>V/C/E</t>
        </is>
      </c>
      <c r="O43" s="25">
        <f>COUNTIF(J43:N43,"&lt;&gt;-")</f>
        <v/>
      </c>
      <c r="P43" s="26" t="inlineStr">
        <is>
          <t>Fixed in source</t>
        </is>
      </c>
      <c r="Q43" s="5" t="inlineStr"/>
    </row>
    <row r="44" ht="26" customHeight="1">
      <c r="A44" s="27" t="n">
        <v>40</v>
      </c>
      <c r="B44" s="12" t="inlineStr">
        <is>
          <t>Submenu</t>
        </is>
      </c>
      <c r="C44" s="12" t="inlineStr">
        <is>
          <t>Bar</t>
        </is>
      </c>
      <c r="D44" s="11" t="inlineStr">
        <is>
          <t>Table Master</t>
        </is>
      </c>
      <c r="E44" s="14" t="inlineStr">
        <is>
          <t>Bar</t>
        </is>
      </c>
      <c r="F44" s="12" t="inlineStr">
        <is>
          <t>/bar_table_master</t>
        </is>
      </c>
      <c r="G44" s="28" t="inlineStr">
        <is>
          <t>Bar</t>
        </is>
      </c>
      <c r="H44" s="13" t="n">
        <v>5</v>
      </c>
      <c r="I44" s="13" t="n">
        <v>2</v>
      </c>
      <c r="J44" s="29" t="inlineStr">
        <is>
          <t>V/C/E/D</t>
        </is>
      </c>
      <c r="K44" s="27" t="inlineStr">
        <is>
          <t>-</t>
        </is>
      </c>
      <c r="L44" s="27" t="inlineStr">
        <is>
          <t>-</t>
        </is>
      </c>
      <c r="M44" s="27" t="inlineStr">
        <is>
          <t>-</t>
        </is>
      </c>
      <c r="N44" s="29" t="inlineStr">
        <is>
          <t>V/C/E</t>
        </is>
      </c>
      <c r="O44" s="30">
        <f>COUNTIF(J44:N44,"&lt;&gt;-")</f>
        <v/>
      </c>
      <c r="P44" s="26" t="inlineStr">
        <is>
          <t>Fixed in source</t>
        </is>
      </c>
      <c r="Q44" s="14" t="inlineStr"/>
    </row>
    <row r="45" ht="26" customHeight="1">
      <c r="A45" s="22" t="n">
        <v>41</v>
      </c>
      <c r="B45" s="8" t="inlineStr">
        <is>
          <t>Submenu</t>
        </is>
      </c>
      <c r="C45" s="8" t="inlineStr">
        <is>
          <t>Bar</t>
        </is>
      </c>
      <c r="D45" s="7" t="inlineStr">
        <is>
          <t>Order Management</t>
        </is>
      </c>
      <c r="E45" s="5" t="inlineStr">
        <is>
          <t>Bar</t>
        </is>
      </c>
      <c r="F45" s="8" t="inlineStr">
        <is>
          <t>/bar_orders</t>
        </is>
      </c>
      <c r="G45" s="23" t="inlineStr">
        <is>
          <t>Bar</t>
        </is>
      </c>
      <c r="H45" s="9" t="n">
        <v>9</v>
      </c>
      <c r="I45" s="9" t="n">
        <v>2</v>
      </c>
      <c r="J45" s="24" t="inlineStr">
        <is>
          <t>V/C/E/D</t>
        </is>
      </c>
      <c r="K45" s="22" t="inlineStr">
        <is>
          <t>-</t>
        </is>
      </c>
      <c r="L45" s="22" t="inlineStr">
        <is>
          <t>-</t>
        </is>
      </c>
      <c r="M45" s="22" t="inlineStr">
        <is>
          <t>-</t>
        </is>
      </c>
      <c r="N45" s="24" t="inlineStr">
        <is>
          <t>V/C/E</t>
        </is>
      </c>
      <c r="O45" s="25">
        <f>COUNTIF(J45:N45,"&lt;&gt;-")</f>
        <v/>
      </c>
      <c r="P45" s="26" t="inlineStr">
        <is>
          <t>Fixed in source</t>
        </is>
      </c>
      <c r="Q45" s="5" t="inlineStr"/>
    </row>
    <row r="46" ht="26" customHeight="1">
      <c r="A46" s="27" t="n">
        <v>42</v>
      </c>
      <c r="B46" s="12" t="inlineStr">
        <is>
          <t>Submenu</t>
        </is>
      </c>
      <c r="C46" s="12" t="inlineStr">
        <is>
          <t>Bar</t>
        </is>
      </c>
      <c r="D46" s="11" t="inlineStr">
        <is>
          <t>Station Display</t>
        </is>
      </c>
      <c r="E46" s="14" t="inlineStr">
        <is>
          <t>Bar</t>
        </is>
      </c>
      <c r="F46" s="12" t="inlineStr">
        <is>
          <t>/bar_station</t>
        </is>
      </c>
      <c r="G46" s="28" t="inlineStr">
        <is>
          <t>Bar</t>
        </is>
      </c>
      <c r="H46" s="13" t="n">
        <v>7</v>
      </c>
      <c r="I46" s="13" t="n">
        <v>2</v>
      </c>
      <c r="J46" s="29" t="inlineStr">
        <is>
          <t>V/C/E/D</t>
        </is>
      </c>
      <c r="K46" s="27" t="inlineStr">
        <is>
          <t>-</t>
        </is>
      </c>
      <c r="L46" s="27" t="inlineStr">
        <is>
          <t>-</t>
        </is>
      </c>
      <c r="M46" s="27" t="inlineStr">
        <is>
          <t>-</t>
        </is>
      </c>
      <c r="N46" s="29" t="inlineStr">
        <is>
          <t>V/C/E</t>
        </is>
      </c>
      <c r="O46" s="30">
        <f>COUNTIF(J46:N46,"&lt;&gt;-")</f>
        <v/>
      </c>
      <c r="P46" s="26" t="inlineStr">
        <is>
          <t>Fixed in source</t>
        </is>
      </c>
      <c r="Q46" s="14" t="inlineStr"/>
    </row>
    <row r="47" ht="26" customHeight="1">
      <c r="A47" s="22" t="n">
        <v>43</v>
      </c>
      <c r="B47" s="8" t="inlineStr">
        <is>
          <t>Submenu</t>
        </is>
      </c>
      <c r="C47" s="8" t="inlineStr">
        <is>
          <t>Bar</t>
        </is>
      </c>
      <c r="D47" s="7" t="inlineStr">
        <is>
          <t>Billing &amp; Payments</t>
        </is>
      </c>
      <c r="E47" s="5" t="inlineStr">
        <is>
          <t>Bar</t>
        </is>
      </c>
      <c r="F47" s="8" t="inlineStr">
        <is>
          <t>/bar_billing_payments</t>
        </is>
      </c>
      <c r="G47" s="23" t="inlineStr">
        <is>
          <t>Bar</t>
        </is>
      </c>
      <c r="H47" s="9" t="n">
        <v>9</v>
      </c>
      <c r="I47" s="9" t="n">
        <v>2</v>
      </c>
      <c r="J47" s="24" t="inlineStr">
        <is>
          <t>V/C/E/D</t>
        </is>
      </c>
      <c r="K47" s="22" t="inlineStr">
        <is>
          <t>-</t>
        </is>
      </c>
      <c r="L47" s="22" t="inlineStr">
        <is>
          <t>-</t>
        </is>
      </c>
      <c r="M47" s="22" t="inlineStr">
        <is>
          <t>-</t>
        </is>
      </c>
      <c r="N47" s="24" t="inlineStr">
        <is>
          <t>V/C/E</t>
        </is>
      </c>
      <c r="O47" s="25">
        <f>COUNTIF(J47:N47,"&lt;&gt;-")</f>
        <v/>
      </c>
      <c r="P47" s="26" t="inlineStr">
        <is>
          <t>Fixed in source</t>
        </is>
      </c>
      <c r="Q47" s="5" t="inlineStr"/>
    </row>
    <row r="48" ht="26" customHeight="1">
      <c r="A48" s="27" t="n">
        <v>44</v>
      </c>
      <c r="B48" s="12" t="inlineStr">
        <is>
          <t>Submenu</t>
        </is>
      </c>
      <c r="C48" s="12" t="inlineStr">
        <is>
          <t>Bar</t>
        </is>
      </c>
      <c r="D48" s="11" t="inlineStr">
        <is>
          <t>Stock</t>
        </is>
      </c>
      <c r="E48" s="14" t="inlineStr">
        <is>
          <t>Bar</t>
        </is>
      </c>
      <c r="F48" s="12" t="inlineStr">
        <is>
          <t>/bar_stock</t>
        </is>
      </c>
      <c r="G48" s="28" t="inlineStr">
        <is>
          <t>Bar</t>
        </is>
      </c>
      <c r="H48" s="13" t="n">
        <v>5</v>
      </c>
      <c r="I48" s="13" t="n">
        <v>2</v>
      </c>
      <c r="J48" s="29" t="inlineStr">
        <is>
          <t>V/C/E/D</t>
        </is>
      </c>
      <c r="K48" s="27" t="inlineStr">
        <is>
          <t>-</t>
        </is>
      </c>
      <c r="L48" s="27" t="inlineStr">
        <is>
          <t>-</t>
        </is>
      </c>
      <c r="M48" s="27" t="inlineStr">
        <is>
          <t>-</t>
        </is>
      </c>
      <c r="N48" s="29" t="inlineStr">
        <is>
          <t>V/C/E</t>
        </is>
      </c>
      <c r="O48" s="30">
        <f>COUNTIF(J48:N48,"&lt;&gt;-")</f>
        <v/>
      </c>
      <c r="P48" s="26" t="inlineStr">
        <is>
          <t>Fixed in source</t>
        </is>
      </c>
      <c r="Q48" s="14" t="inlineStr"/>
    </row>
    <row r="49" ht="26" customHeight="1">
      <c r="A49" s="22" t="n">
        <v>45</v>
      </c>
      <c r="B49" s="8" t="inlineStr">
        <is>
          <t>Submenu</t>
        </is>
      </c>
      <c r="C49" s="8" t="inlineStr">
        <is>
          <t>Bar</t>
        </is>
      </c>
      <c r="D49" s="7" t="inlineStr">
        <is>
          <t>Recipe Management</t>
        </is>
      </c>
      <c r="E49" s="5" t="inlineStr">
        <is>
          <t>Bar</t>
        </is>
      </c>
      <c r="F49" s="8" t="inlineStr">
        <is>
          <t>/bar_recipe_management</t>
        </is>
      </c>
      <c r="G49" s="23" t="inlineStr">
        <is>
          <t>Bar</t>
        </is>
      </c>
      <c r="H49" s="9" t="n">
        <v>6</v>
      </c>
      <c r="I49" s="9" t="n">
        <v>2</v>
      </c>
      <c r="J49" s="24" t="inlineStr">
        <is>
          <t>V/C/E/D</t>
        </is>
      </c>
      <c r="K49" s="22" t="inlineStr">
        <is>
          <t>-</t>
        </is>
      </c>
      <c r="L49" s="22" t="inlineStr">
        <is>
          <t>-</t>
        </is>
      </c>
      <c r="M49" s="22" t="inlineStr">
        <is>
          <t>-</t>
        </is>
      </c>
      <c r="N49" s="24" t="inlineStr">
        <is>
          <t>V/C/E</t>
        </is>
      </c>
      <c r="O49" s="25">
        <f>COUNTIF(J49:N49,"&lt;&gt;-")</f>
        <v/>
      </c>
      <c r="P49" s="26" t="inlineStr">
        <is>
          <t>Fixed in source</t>
        </is>
      </c>
      <c r="Q49" s="5" t="inlineStr"/>
    </row>
    <row r="50" ht="26" customHeight="1">
      <c r="A50" s="27" t="n">
        <v>46</v>
      </c>
      <c r="B50" s="12" t="inlineStr">
        <is>
          <t>Submenu</t>
        </is>
      </c>
      <c r="C50" s="12" t="inlineStr">
        <is>
          <t>Bar</t>
        </is>
      </c>
      <c r="D50" s="11" t="inlineStr">
        <is>
          <t>Guest Management</t>
        </is>
      </c>
      <c r="E50" s="14" t="inlineStr">
        <is>
          <t>Bar</t>
        </is>
      </c>
      <c r="F50" s="12" t="inlineStr">
        <is>
          <t>/bar_guest_management</t>
        </is>
      </c>
      <c r="G50" s="28" t="inlineStr">
        <is>
          <t>Bar</t>
        </is>
      </c>
      <c r="H50" s="13" t="n">
        <v>8</v>
      </c>
      <c r="I50" s="13" t="n">
        <v>2</v>
      </c>
      <c r="J50" s="29" t="inlineStr">
        <is>
          <t>V/C/E/D</t>
        </is>
      </c>
      <c r="K50" s="27" t="inlineStr">
        <is>
          <t>-</t>
        </is>
      </c>
      <c r="L50" s="27" t="inlineStr">
        <is>
          <t>-</t>
        </is>
      </c>
      <c r="M50" s="27" t="inlineStr">
        <is>
          <t>-</t>
        </is>
      </c>
      <c r="N50" s="29" t="inlineStr">
        <is>
          <t>V/C/E</t>
        </is>
      </c>
      <c r="O50" s="30">
        <f>COUNTIF(J50:N50,"&lt;&gt;-")</f>
        <v/>
      </c>
      <c r="P50" s="26" t="inlineStr">
        <is>
          <t>Fixed in source</t>
        </is>
      </c>
      <c r="Q50" s="14" t="inlineStr"/>
    </row>
    <row r="51" ht="26" customHeight="1">
      <c r="A51" s="22" t="n">
        <v>47</v>
      </c>
      <c r="B51" s="8" t="inlineStr">
        <is>
          <t>Submenu</t>
        </is>
      </c>
      <c r="C51" s="8" t="inlineStr">
        <is>
          <t>Bar</t>
        </is>
      </c>
      <c r="D51" s="7" t="inlineStr">
        <is>
          <t>Report &amp; Analytics</t>
        </is>
      </c>
      <c r="E51" s="5" t="inlineStr">
        <is>
          <t>Bar</t>
        </is>
      </c>
      <c r="F51" s="8" t="inlineStr">
        <is>
          <t>/bar_reports_analytics</t>
        </is>
      </c>
      <c r="G51" s="23" t="inlineStr">
        <is>
          <t>Bar</t>
        </is>
      </c>
      <c r="H51" s="9" t="n">
        <v>8</v>
      </c>
      <c r="I51" s="9" t="n">
        <v>2</v>
      </c>
      <c r="J51" s="24" t="inlineStr">
        <is>
          <t>V/C/E/D</t>
        </is>
      </c>
      <c r="K51" s="22" t="inlineStr">
        <is>
          <t>-</t>
        </is>
      </c>
      <c r="L51" s="22" t="inlineStr">
        <is>
          <t>-</t>
        </is>
      </c>
      <c r="M51" s="22" t="inlineStr">
        <is>
          <t>-</t>
        </is>
      </c>
      <c r="N51" s="24" t="inlineStr">
        <is>
          <t>V/C/E</t>
        </is>
      </c>
      <c r="O51" s="25">
        <f>COUNTIF(J51:N51,"&lt;&gt;-")</f>
        <v/>
      </c>
      <c r="P51" s="26" t="inlineStr">
        <is>
          <t>Fixed in source</t>
        </is>
      </c>
      <c r="Q51" s="5" t="inlineStr"/>
    </row>
    <row r="52" ht="26" customHeight="1">
      <c r="A52" s="27" t="n">
        <v>48</v>
      </c>
      <c r="B52" s="12" t="inlineStr">
        <is>
          <t>Submenu</t>
        </is>
      </c>
      <c r="C52" s="12" t="inlineStr">
        <is>
          <t>Master Data</t>
        </is>
      </c>
      <c r="D52" s="11" t="inlineStr">
        <is>
          <t>Facilities</t>
        </is>
      </c>
      <c r="E52" s="14" t="inlineStr">
        <is>
          <t>Master Data</t>
        </is>
      </c>
      <c r="F52" s="12" t="inlineStr">
        <is>
          <t>/facilities</t>
        </is>
      </c>
      <c r="G52" s="28" t="inlineStr">
        <is>
          <t>Master Data</t>
        </is>
      </c>
      <c r="H52" s="13" t="n">
        <v>4</v>
      </c>
      <c r="I52" s="13" t="n">
        <v>2</v>
      </c>
      <c r="J52" s="29" t="inlineStr">
        <is>
          <t>V/C/E/D</t>
        </is>
      </c>
      <c r="K52" s="29" t="inlineStr">
        <is>
          <t>V</t>
        </is>
      </c>
      <c r="L52" s="27" t="inlineStr">
        <is>
          <t>-</t>
        </is>
      </c>
      <c r="M52" s="27" t="inlineStr">
        <is>
          <t>-</t>
        </is>
      </c>
      <c r="N52" s="27" t="inlineStr">
        <is>
          <t>-</t>
        </is>
      </c>
      <c r="O52" s="30">
        <f>COUNTIF(J52:N52,"&lt;&gt;-")</f>
        <v/>
      </c>
      <c r="P52" s="32" t="inlineStr">
        <is>
          <t>No defect found</t>
        </is>
      </c>
      <c r="Q52" s="14" t="inlineStr"/>
    </row>
    <row r="53" ht="26" customHeight="1">
      <c r="A53" s="22" t="n">
        <v>49</v>
      </c>
      <c r="B53" s="8" t="inlineStr">
        <is>
          <t>Submenu</t>
        </is>
      </c>
      <c r="C53" s="8" t="inlineStr">
        <is>
          <t>Master Data</t>
        </is>
      </c>
      <c r="D53" s="7" t="inlineStr">
        <is>
          <t>Room Type</t>
        </is>
      </c>
      <c r="E53" s="5" t="inlineStr">
        <is>
          <t>Master Data</t>
        </is>
      </c>
      <c r="F53" s="8" t="inlineStr">
        <is>
          <t>/room_type</t>
        </is>
      </c>
      <c r="G53" s="23" t="inlineStr">
        <is>
          <t>Master Data</t>
        </is>
      </c>
      <c r="H53" s="9" t="n">
        <v>6</v>
      </c>
      <c r="I53" s="9" t="n">
        <v>2</v>
      </c>
      <c r="J53" s="24" t="inlineStr">
        <is>
          <t>V/C/E/D</t>
        </is>
      </c>
      <c r="K53" s="24" t="inlineStr">
        <is>
          <t>V</t>
        </is>
      </c>
      <c r="L53" s="22" t="inlineStr">
        <is>
          <t>-</t>
        </is>
      </c>
      <c r="M53" s="22" t="inlineStr">
        <is>
          <t>-</t>
        </is>
      </c>
      <c r="N53" s="22" t="inlineStr">
        <is>
          <t>-</t>
        </is>
      </c>
      <c r="O53" s="25">
        <f>COUNTIF(J53:N53,"&lt;&gt;-")</f>
        <v/>
      </c>
      <c r="P53" s="32" t="inlineStr">
        <is>
          <t>No defect found</t>
        </is>
      </c>
      <c r="Q53" s="5" t="inlineStr"/>
    </row>
    <row r="54" ht="26" customHeight="1">
      <c r="A54" s="27" t="n">
        <v>50</v>
      </c>
      <c r="B54" s="12" t="inlineStr">
        <is>
          <t>Submenu</t>
        </is>
      </c>
      <c r="C54" s="12" t="inlineStr">
        <is>
          <t>Master Data</t>
        </is>
      </c>
      <c r="D54" s="11" t="inlineStr">
        <is>
          <t>Bed Type</t>
        </is>
      </c>
      <c r="E54" s="14" t="inlineStr">
        <is>
          <t>Master Data</t>
        </is>
      </c>
      <c r="F54" s="12" t="inlineStr">
        <is>
          <t>/bed_type</t>
        </is>
      </c>
      <c r="G54" s="28" t="inlineStr">
        <is>
          <t>Master Data</t>
        </is>
      </c>
      <c r="H54" s="13" t="n">
        <v>4</v>
      </c>
      <c r="I54" s="13" t="n">
        <v>2</v>
      </c>
      <c r="J54" s="29" t="inlineStr">
        <is>
          <t>V/C/E/D</t>
        </is>
      </c>
      <c r="K54" s="29" t="inlineStr">
        <is>
          <t>V</t>
        </is>
      </c>
      <c r="L54" s="27" t="inlineStr">
        <is>
          <t>-</t>
        </is>
      </c>
      <c r="M54" s="27" t="inlineStr">
        <is>
          <t>-</t>
        </is>
      </c>
      <c r="N54" s="27" t="inlineStr">
        <is>
          <t>-</t>
        </is>
      </c>
      <c r="O54" s="30">
        <f>COUNTIF(J54:N54,"&lt;&gt;-")</f>
        <v/>
      </c>
      <c r="P54" s="32" t="inlineStr">
        <is>
          <t>No defect found</t>
        </is>
      </c>
      <c r="Q54" s="14" t="inlineStr"/>
    </row>
    <row r="55" ht="26" customHeight="1">
      <c r="A55" s="22" t="n">
        <v>51</v>
      </c>
      <c r="B55" s="8" t="inlineStr">
        <is>
          <t>Submenu</t>
        </is>
      </c>
      <c r="C55" s="8" t="inlineStr">
        <is>
          <t>Master Data</t>
        </is>
      </c>
      <c r="D55" s="7" t="inlineStr">
        <is>
          <t>Hall / Floor</t>
        </is>
      </c>
      <c r="E55" s="5" t="inlineStr">
        <is>
          <t>Master Data</t>
        </is>
      </c>
      <c r="F55" s="8" t="inlineStr">
        <is>
          <t>/hall_floor</t>
        </is>
      </c>
      <c r="G55" s="23" t="inlineStr">
        <is>
          <t>Master Data</t>
        </is>
      </c>
      <c r="H55" s="9" t="n">
        <v>4</v>
      </c>
      <c r="I55" s="9" t="n">
        <v>2</v>
      </c>
      <c r="J55" s="24" t="inlineStr">
        <is>
          <t>V/C/E/D</t>
        </is>
      </c>
      <c r="K55" s="24" t="inlineStr">
        <is>
          <t>V</t>
        </is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5">
        <f>COUNTIF(J55:N55,"&lt;&gt;-")</f>
        <v/>
      </c>
      <c r="P55" s="32" t="inlineStr">
        <is>
          <t>No defect found</t>
        </is>
      </c>
      <c r="Q55" s="5" t="inlineStr"/>
    </row>
    <row r="56" ht="26" customHeight="1">
      <c r="A56" s="27" t="n">
        <v>52</v>
      </c>
      <c r="B56" s="12" t="inlineStr">
        <is>
          <t>Submenu</t>
        </is>
      </c>
      <c r="C56" s="12" t="inlineStr">
        <is>
          <t>Master Data</t>
        </is>
      </c>
      <c r="D56" s="11" t="inlineStr">
        <is>
          <t>Rooms</t>
        </is>
      </c>
      <c r="E56" s="14" t="inlineStr">
        <is>
          <t>Master Data</t>
        </is>
      </c>
      <c r="F56" s="12" t="inlineStr">
        <is>
          <t>/rooms</t>
        </is>
      </c>
      <c r="G56" s="28" t="inlineStr">
        <is>
          <t>Master Data</t>
        </is>
      </c>
      <c r="H56" s="13" t="n">
        <v>8</v>
      </c>
      <c r="I56" s="13" t="n">
        <v>2</v>
      </c>
      <c r="J56" s="29" t="inlineStr">
        <is>
          <t>V/C/E/D</t>
        </is>
      </c>
      <c r="K56" s="29" t="inlineStr">
        <is>
          <t>V</t>
        </is>
      </c>
      <c r="L56" s="27" t="inlineStr">
        <is>
          <t>-</t>
        </is>
      </c>
      <c r="M56" s="27" t="inlineStr">
        <is>
          <t>-</t>
        </is>
      </c>
      <c r="N56" s="27" t="inlineStr">
        <is>
          <t>-</t>
        </is>
      </c>
      <c r="O56" s="30">
        <f>COUNTIF(J56:N56,"&lt;&gt;-")</f>
        <v/>
      </c>
      <c r="P56" s="32" t="inlineStr">
        <is>
          <t>No defect found</t>
        </is>
      </c>
      <c r="Q56" s="14" t="inlineStr"/>
    </row>
    <row r="57" ht="26" customHeight="1">
      <c r="A57" s="22" t="n">
        <v>53</v>
      </c>
      <c r="B57" s="8" t="inlineStr">
        <is>
          <t>Submenu</t>
        </is>
      </c>
      <c r="C57" s="8" t="inlineStr">
        <is>
          <t>Master Data</t>
        </is>
      </c>
      <c r="D57" s="7" t="inlineStr">
        <is>
          <t>Discount Type</t>
        </is>
      </c>
      <c r="E57" s="5" t="inlineStr">
        <is>
          <t>Master Data</t>
        </is>
      </c>
      <c r="F57" s="8" t="inlineStr">
        <is>
          <t>/discount_type</t>
        </is>
      </c>
      <c r="G57" s="23" t="inlineStr">
        <is>
          <t>Master Data</t>
        </is>
      </c>
      <c r="H57" s="9" t="n">
        <v>5</v>
      </c>
      <c r="I57" s="9" t="n">
        <v>2</v>
      </c>
      <c r="J57" s="24" t="inlineStr">
        <is>
          <t>V/C/E/D</t>
        </is>
      </c>
      <c r="K57" s="24" t="inlineStr">
        <is>
          <t>V</t>
        </is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5">
        <f>COUNTIF(J57:N57,"&lt;&gt;-")</f>
        <v/>
      </c>
      <c r="P57" s="32" t="inlineStr">
        <is>
          <t>No defect found</t>
        </is>
      </c>
      <c r="Q57" s="5" t="inlineStr"/>
    </row>
    <row r="58" ht="26" customHeight="1">
      <c r="A58" s="27" t="n">
        <v>54</v>
      </c>
      <c r="B58" s="12" t="inlineStr">
        <is>
          <t>Submenu</t>
        </is>
      </c>
      <c r="C58" s="12" t="inlineStr">
        <is>
          <t>Master Data</t>
        </is>
      </c>
      <c r="D58" s="11" t="inlineStr">
        <is>
          <t>Tax Types</t>
        </is>
      </c>
      <c r="E58" s="14" t="inlineStr">
        <is>
          <t>Master Data</t>
        </is>
      </c>
      <c r="F58" s="12" t="inlineStr">
        <is>
          <t>/tax_types</t>
        </is>
      </c>
      <c r="G58" s="28" t="inlineStr">
        <is>
          <t>Master Data</t>
        </is>
      </c>
      <c r="H58" s="13" t="n">
        <v>5</v>
      </c>
      <c r="I58" s="13" t="n">
        <v>2</v>
      </c>
      <c r="J58" s="29" t="inlineStr">
        <is>
          <t>V/C/E/D</t>
        </is>
      </c>
      <c r="K58" s="29" t="inlineStr">
        <is>
          <t>V</t>
        </is>
      </c>
      <c r="L58" s="27" t="inlineStr">
        <is>
          <t>-</t>
        </is>
      </c>
      <c r="M58" s="27" t="inlineStr">
        <is>
          <t>-</t>
        </is>
      </c>
      <c r="N58" s="27" t="inlineStr">
        <is>
          <t>-</t>
        </is>
      </c>
      <c r="O58" s="30">
        <f>COUNTIF(J58:N58,"&lt;&gt;-")</f>
        <v/>
      </c>
      <c r="P58" s="32" t="inlineStr">
        <is>
          <t>No defect found</t>
        </is>
      </c>
      <c r="Q58" s="14" t="inlineStr"/>
    </row>
    <row r="59" ht="26" customHeight="1">
      <c r="A59" s="22" t="n">
        <v>55</v>
      </c>
      <c r="B59" s="8" t="inlineStr">
        <is>
          <t>Submenu</t>
        </is>
      </c>
      <c r="C59" s="8" t="inlineStr">
        <is>
          <t>Master Data</t>
        </is>
      </c>
      <c r="D59" s="7" t="inlineStr">
        <is>
          <t>Payment Methods</t>
        </is>
      </c>
      <c r="E59" s="5" t="inlineStr">
        <is>
          <t>Master Data</t>
        </is>
      </c>
      <c r="F59" s="8" t="inlineStr">
        <is>
          <t>/payment_methods</t>
        </is>
      </c>
      <c r="G59" s="23" t="inlineStr">
        <is>
          <t>Master Data</t>
        </is>
      </c>
      <c r="H59" s="9" t="n">
        <v>4</v>
      </c>
      <c r="I59" s="9" t="n">
        <v>2</v>
      </c>
      <c r="J59" s="24" t="inlineStr">
        <is>
          <t>V/C/E/D</t>
        </is>
      </c>
      <c r="K59" s="24" t="inlineStr">
        <is>
          <t>V</t>
        </is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5">
        <f>COUNTIF(J59:N59,"&lt;&gt;-")</f>
        <v/>
      </c>
      <c r="P59" s="32" t="inlineStr">
        <is>
          <t>No defect found</t>
        </is>
      </c>
      <c r="Q59" s="5" t="inlineStr"/>
    </row>
    <row r="60" ht="26" customHeight="1">
      <c r="A60" s="27" t="n">
        <v>56</v>
      </c>
      <c r="B60" s="12" t="inlineStr">
        <is>
          <t>Submenu</t>
        </is>
      </c>
      <c r="C60" s="12" t="inlineStr">
        <is>
          <t>Master Data</t>
        </is>
      </c>
      <c r="D60" s="11" t="inlineStr">
        <is>
          <t>Identification Proof</t>
        </is>
      </c>
      <c r="E60" s="14" t="inlineStr">
        <is>
          <t>Master Data</t>
        </is>
      </c>
      <c r="F60" s="12" t="inlineStr">
        <is>
          <t>/identification_proof</t>
        </is>
      </c>
      <c r="G60" s="28" t="inlineStr">
        <is>
          <t>Master Data</t>
        </is>
      </c>
      <c r="H60" s="13" t="n">
        <v>4</v>
      </c>
      <c r="I60" s="13" t="n">
        <v>2</v>
      </c>
      <c r="J60" s="29" t="inlineStr">
        <is>
          <t>V/C/E/D</t>
        </is>
      </c>
      <c r="K60" s="29" t="inlineStr">
        <is>
          <t>V</t>
        </is>
      </c>
      <c r="L60" s="27" t="inlineStr">
        <is>
          <t>-</t>
        </is>
      </c>
      <c r="M60" s="27" t="inlineStr">
        <is>
          <t>-</t>
        </is>
      </c>
      <c r="N60" s="27" t="inlineStr">
        <is>
          <t>-</t>
        </is>
      </c>
      <c r="O60" s="30">
        <f>COUNTIF(J60:N60,"&lt;&gt;-")</f>
        <v/>
      </c>
      <c r="P60" s="32" t="inlineStr">
        <is>
          <t>No defect found</t>
        </is>
      </c>
      <c r="Q60" s="14" t="inlineStr"/>
    </row>
    <row r="61" ht="26" customHeight="1">
      <c r="A61" s="22" t="n">
        <v>57</v>
      </c>
      <c r="B61" s="8" t="inlineStr">
        <is>
          <t>Submenu</t>
        </is>
      </c>
      <c r="C61" s="8" t="inlineStr">
        <is>
          <t>Master Data</t>
        </is>
      </c>
      <c r="D61" s="7" t="inlineStr">
        <is>
          <t>Currency &amp; Country</t>
        </is>
      </c>
      <c r="E61" s="5" t="inlineStr">
        <is>
          <t>Master Data</t>
        </is>
      </c>
      <c r="F61" s="8" t="inlineStr">
        <is>
          <t>/currency_country</t>
        </is>
      </c>
      <c r="G61" s="23" t="inlineStr">
        <is>
          <t>Master Data</t>
        </is>
      </c>
      <c r="H61" s="9" t="n">
        <v>5</v>
      </c>
      <c r="I61" s="9" t="n">
        <v>2</v>
      </c>
      <c r="J61" s="24" t="inlineStr">
        <is>
          <t>V/C/E/D</t>
        </is>
      </c>
      <c r="K61" s="24" t="inlineStr">
        <is>
          <t>V</t>
        </is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5">
        <f>COUNTIF(J61:N61,"&lt;&gt;-")</f>
        <v/>
      </c>
      <c r="P61" s="32" t="inlineStr">
        <is>
          <t>No defect found</t>
        </is>
      </c>
      <c r="Q61" s="5" t="inlineStr"/>
    </row>
    <row r="62" ht="26" customHeight="1">
      <c r="A62" s="27" t="n">
        <v>58</v>
      </c>
      <c r="B62" s="12" t="inlineStr">
        <is>
          <t>Submenu</t>
        </is>
      </c>
      <c r="C62" s="12" t="inlineStr">
        <is>
          <t>Master Data</t>
        </is>
      </c>
      <c r="D62" s="11" t="inlineStr">
        <is>
          <t>HSK Task Type</t>
        </is>
      </c>
      <c r="E62" s="14" t="inlineStr">
        <is>
          <t>Master Data</t>
        </is>
      </c>
      <c r="F62" s="12" t="inlineStr">
        <is>
          <t>/hsk_task_type</t>
        </is>
      </c>
      <c r="G62" s="28" t="inlineStr">
        <is>
          <t>Master Data</t>
        </is>
      </c>
      <c r="H62" s="13" t="n">
        <v>4</v>
      </c>
      <c r="I62" s="13" t="n">
        <v>2</v>
      </c>
      <c r="J62" s="29" t="inlineStr">
        <is>
          <t>V/C/E/D</t>
        </is>
      </c>
      <c r="K62" s="29" t="inlineStr">
        <is>
          <t>V</t>
        </is>
      </c>
      <c r="L62" s="27" t="inlineStr">
        <is>
          <t>-</t>
        </is>
      </c>
      <c r="M62" s="27" t="inlineStr">
        <is>
          <t>-</t>
        </is>
      </c>
      <c r="N62" s="27" t="inlineStr">
        <is>
          <t>-</t>
        </is>
      </c>
      <c r="O62" s="30">
        <f>COUNTIF(J62:N62,"&lt;&gt;-")</f>
        <v/>
      </c>
      <c r="P62" s="32" t="inlineStr">
        <is>
          <t>No defect found</t>
        </is>
      </c>
      <c r="Q62" s="14" t="inlineStr"/>
    </row>
    <row r="63" ht="26" customHeight="1">
      <c r="A63" s="22" t="n">
        <v>59</v>
      </c>
      <c r="B63" s="8" t="inlineStr">
        <is>
          <t>Submenu</t>
        </is>
      </c>
      <c r="C63" s="8" t="inlineStr">
        <is>
          <t>Master Data</t>
        </is>
      </c>
      <c r="D63" s="7" t="inlineStr">
        <is>
          <t>Complementary</t>
        </is>
      </c>
      <c r="E63" s="5" t="inlineStr">
        <is>
          <t>Master Data</t>
        </is>
      </c>
      <c r="F63" s="8" t="inlineStr">
        <is>
          <t>/complementary</t>
        </is>
      </c>
      <c r="G63" s="23" t="inlineStr">
        <is>
          <t>Master Data</t>
        </is>
      </c>
      <c r="H63" s="9" t="n">
        <v>5</v>
      </c>
      <c r="I63" s="9" t="n">
        <v>2</v>
      </c>
      <c r="J63" s="24" t="inlineStr">
        <is>
          <t>V/C/E/D</t>
        </is>
      </c>
      <c r="K63" s="24" t="inlineStr">
        <is>
          <t>V</t>
        </is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5">
        <f>COUNTIF(J63:N63,"&lt;&gt;-")</f>
        <v/>
      </c>
      <c r="P63" s="32" t="inlineStr">
        <is>
          <t>No defect found</t>
        </is>
      </c>
      <c r="Q63" s="5" t="inlineStr"/>
    </row>
    <row r="64" ht="26" customHeight="1">
      <c r="A64" s="27" t="n">
        <v>60</v>
      </c>
      <c r="B64" s="12" t="inlineStr">
        <is>
          <t>Submenu</t>
        </is>
      </c>
      <c r="C64" s="12" t="inlineStr">
        <is>
          <t>Master Data</t>
        </is>
      </c>
      <c r="D64" s="11" t="inlineStr">
        <is>
          <t>Reservation Status</t>
        </is>
      </c>
      <c r="E64" s="14" t="inlineStr">
        <is>
          <t>Master Data</t>
        </is>
      </c>
      <c r="F64" s="12" t="inlineStr">
        <is>
          <t>/reservation_status</t>
        </is>
      </c>
      <c r="G64" s="28" t="inlineStr">
        <is>
          <t>Master Data</t>
        </is>
      </c>
      <c r="H64" s="13" t="n">
        <v>4</v>
      </c>
      <c r="I64" s="13" t="n">
        <v>2</v>
      </c>
      <c r="J64" s="29" t="inlineStr">
        <is>
          <t>V/C/E/D</t>
        </is>
      </c>
      <c r="K64" s="29" t="inlineStr">
        <is>
          <t>V</t>
        </is>
      </c>
      <c r="L64" s="27" t="inlineStr">
        <is>
          <t>-</t>
        </is>
      </c>
      <c r="M64" s="27" t="inlineStr">
        <is>
          <t>-</t>
        </is>
      </c>
      <c r="N64" s="27" t="inlineStr">
        <is>
          <t>-</t>
        </is>
      </c>
      <c r="O64" s="30">
        <f>COUNTIF(J64:N64,"&lt;&gt;-")</f>
        <v/>
      </c>
      <c r="P64" s="32" t="inlineStr">
        <is>
          <t>No defect found</t>
        </is>
      </c>
      <c r="Q64" s="14" t="inlineStr"/>
    </row>
    <row r="66">
      <c r="A66" s="16" t="inlineStr">
        <is>
          <t>TOTALS</t>
        </is>
      </c>
      <c r="B66" s="17" t="inlineStr"/>
      <c r="C66" s="17" t="inlineStr"/>
      <c r="D66" s="18">
        <f>COUNTA(D5:D64)</f>
        <v/>
      </c>
      <c r="E66" s="17" t="inlineStr"/>
      <c r="F66" s="33" t="inlineStr">
        <is>
          <t>pages</t>
        </is>
      </c>
      <c r="G66" s="33" t="inlineStr">
        <is>
          <t>routes</t>
        </is>
      </c>
      <c r="H66" s="18">
        <f>SUM(H5:H64)</f>
        <v/>
      </c>
      <c r="I66" s="17" t="inlineStr"/>
      <c r="J66" s="17" t="inlineStr"/>
      <c r="K66" s="17" t="inlineStr"/>
      <c r="L66" s="17" t="inlineStr"/>
      <c r="M66" s="17" t="inlineStr"/>
      <c r="N66" s="17" t="inlineStr"/>
      <c r="O66" s="17" t="inlineStr"/>
      <c r="P66" s="17" t="inlineStr"/>
      <c r="Q66" s="17" t="inlineStr"/>
    </row>
  </sheetData>
  <autoFilter ref="A4:Q64"/>
  <mergeCells count="2">
    <mergeCell ref="A2:Q2"/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Role access, as the database actually grants it</t>
        </is>
      </c>
    </row>
    <row r="2" ht="20" customHeight="1">
      <c r="A2" s="2" t="inlineStr">
        <is>
          <t>V/A/E/D = view / add / edit / delete. This is the permission data itself, not a re-derivation. Column totals are formulas.</t>
        </is>
      </c>
    </row>
    <row r="4" ht="30" customHeight="1">
      <c r="A4" s="6" t="inlineStr">
        <is>
          <t>#</t>
        </is>
      </c>
      <c r="B4" s="6" t="inlineStr">
        <is>
          <t>Label</t>
        </is>
      </c>
      <c r="C4" s="6" t="inlineStr">
        <is>
          <t>Path</t>
        </is>
      </c>
      <c r="D4" s="6" t="inlineStr">
        <is>
          <t>Admin</t>
        </is>
      </c>
      <c r="E4" s="6" t="inlineStr">
        <is>
          <t>F.O. Manager</t>
        </is>
      </c>
      <c r="F4" s="6" t="inlineStr">
        <is>
          <t>Front Desk</t>
        </is>
      </c>
      <c r="G4" s="6" t="inlineStr">
        <is>
          <t>Housekeeping</t>
        </is>
      </c>
      <c r="H4" s="6" t="inlineStr">
        <is>
          <t>F&amp;B</t>
        </is>
      </c>
    </row>
    <row r="5">
      <c r="A5" s="22" t="n">
        <v>1</v>
      </c>
      <c r="B5" s="8" t="inlineStr">
        <is>
          <t>Dashboard</t>
        </is>
      </c>
      <c r="C5" s="8" t="inlineStr">
        <is>
          <t>/dashboard</t>
        </is>
      </c>
      <c r="D5" s="24" t="inlineStr">
        <is>
          <t>V/C/E/D</t>
        </is>
      </c>
      <c r="E5" s="24" t="inlineStr">
        <is>
          <t>V</t>
        </is>
      </c>
      <c r="F5" s="24" t="inlineStr">
        <is>
          <t>V</t>
        </is>
      </c>
      <c r="G5" s="24" t="inlineStr">
        <is>
          <t>V</t>
        </is>
      </c>
      <c r="H5" s="24" t="inlineStr">
        <is>
          <t>V</t>
        </is>
      </c>
    </row>
    <row r="6">
      <c r="A6" s="27" t="n">
        <v>2</v>
      </c>
      <c r="B6" s="12" t="inlineStr">
        <is>
          <t>Reservation</t>
        </is>
      </c>
      <c r="C6" s="12" t="inlineStr">
        <is>
          <t>/reservation</t>
        </is>
      </c>
      <c r="D6" s="29" t="inlineStr">
        <is>
          <t>V/C/E/D</t>
        </is>
      </c>
      <c r="E6" s="29" t="inlineStr">
        <is>
          <t>V/C/E/D</t>
        </is>
      </c>
      <c r="F6" s="29" t="inlineStr">
        <is>
          <t>V/C/E</t>
        </is>
      </c>
      <c r="G6" s="29" t="inlineStr">
        <is>
          <t>V</t>
        </is>
      </c>
      <c r="H6" s="27" t="inlineStr">
        <is>
          <t>-</t>
        </is>
      </c>
    </row>
    <row r="7">
      <c r="A7" s="22" t="n">
        <v>3</v>
      </c>
      <c r="B7" s="8" t="inlineStr">
        <is>
          <t>Add New Reservation</t>
        </is>
      </c>
      <c r="C7" s="8" t="inlineStr">
        <is>
          <t>/add_new_reservation</t>
        </is>
      </c>
      <c r="D7" s="24" t="inlineStr">
        <is>
          <t>V/C/E/D</t>
        </is>
      </c>
      <c r="E7" s="24" t="inlineStr">
        <is>
          <t>V/C/E/D</t>
        </is>
      </c>
      <c r="F7" s="24" t="inlineStr">
        <is>
          <t>V/C/E</t>
        </is>
      </c>
      <c r="G7" s="24" t="inlineStr">
        <is>
          <t>V</t>
        </is>
      </c>
      <c r="H7" s="22" t="inlineStr">
        <is>
          <t>-</t>
        </is>
      </c>
    </row>
    <row r="8">
      <c r="A8" s="27" t="n">
        <v>4</v>
      </c>
      <c r="B8" s="12" t="inlineStr">
        <is>
          <t>Booking</t>
        </is>
      </c>
      <c r="C8" s="12" t="inlineStr">
        <is>
          <t>/booking</t>
        </is>
      </c>
      <c r="D8" s="29" t="inlineStr">
        <is>
          <t>V/C/E/D</t>
        </is>
      </c>
      <c r="E8" s="29" t="inlineStr">
        <is>
          <t>V/C/E/D</t>
        </is>
      </c>
      <c r="F8" s="29" t="inlineStr">
        <is>
          <t>V/C/E</t>
        </is>
      </c>
      <c r="G8" s="29" t="inlineStr">
        <is>
          <t>V</t>
        </is>
      </c>
      <c r="H8" s="27" t="inlineStr">
        <is>
          <t>-</t>
        </is>
      </c>
    </row>
    <row r="9">
      <c r="A9" s="22" t="n">
        <v>5</v>
      </c>
      <c r="B9" s="8" t="inlineStr">
        <is>
          <t>Room View</t>
        </is>
      </c>
      <c r="C9" s="8" t="inlineStr">
        <is>
          <t>/room_view</t>
        </is>
      </c>
      <c r="D9" s="24" t="inlineStr">
        <is>
          <t>V/C/E/D</t>
        </is>
      </c>
      <c r="E9" s="24" t="inlineStr">
        <is>
          <t>V/C/E/D</t>
        </is>
      </c>
      <c r="F9" s="24" t="inlineStr">
        <is>
          <t>V/C/E</t>
        </is>
      </c>
      <c r="G9" s="24" t="inlineStr">
        <is>
          <t>V</t>
        </is>
      </c>
      <c r="H9" s="22" t="inlineStr">
        <is>
          <t>-</t>
        </is>
      </c>
    </row>
    <row r="10">
      <c r="A10" s="27" t="n">
        <v>6</v>
      </c>
      <c r="B10" s="12" t="inlineStr">
        <is>
          <t>Reservation View</t>
        </is>
      </c>
      <c r="C10" s="12" t="inlineStr">
        <is>
          <t>/reservation_view</t>
        </is>
      </c>
      <c r="D10" s="29" t="inlineStr">
        <is>
          <t>V/C/E/D</t>
        </is>
      </c>
      <c r="E10" s="29" t="inlineStr">
        <is>
          <t>V/C/E/D</t>
        </is>
      </c>
      <c r="F10" s="29" t="inlineStr">
        <is>
          <t>V/C/E</t>
        </is>
      </c>
      <c r="G10" s="29" t="inlineStr">
        <is>
          <t>V</t>
        </is>
      </c>
      <c r="H10" s="27" t="inlineStr">
        <is>
          <t>-</t>
        </is>
      </c>
    </row>
    <row r="11">
      <c r="A11" s="22" t="n">
        <v>7</v>
      </c>
      <c r="B11" s="8" t="inlineStr">
        <is>
          <t>Night Audit</t>
        </is>
      </c>
      <c r="C11" s="8" t="inlineStr">
        <is>
          <t>/night_audit</t>
        </is>
      </c>
      <c r="D11" s="24" t="inlineStr">
        <is>
          <t>V/C/E/D</t>
        </is>
      </c>
      <c r="E11" s="24" t="inlineStr">
        <is>
          <t>V/C/E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</row>
    <row r="12">
      <c r="A12" s="27" t="n">
        <v>8</v>
      </c>
      <c r="B12" s="12" t="inlineStr">
        <is>
          <t>User Reserved Details</t>
        </is>
      </c>
      <c r="C12" s="12" t="inlineStr">
        <is>
          <t>/user_reserved_details</t>
        </is>
      </c>
      <c r="D12" s="29" t="inlineStr">
        <is>
          <t>V/C/E/D</t>
        </is>
      </c>
      <c r="E12" s="29" t="inlineStr">
        <is>
          <t>V/C/E</t>
        </is>
      </c>
      <c r="F12" s="27" t="inlineStr">
        <is>
          <t>-</t>
        </is>
      </c>
      <c r="G12" s="27" t="inlineStr">
        <is>
          <t>-</t>
        </is>
      </c>
      <c r="H12" s="27" t="inlineStr">
        <is>
          <t>-</t>
        </is>
      </c>
    </row>
    <row r="13">
      <c r="A13" s="22" t="n">
        <v>9</v>
      </c>
      <c r="B13" s="8" t="inlineStr">
        <is>
          <t>Room Booked Details</t>
        </is>
      </c>
      <c r="C13" s="8" t="inlineStr">
        <is>
          <t>/room_booked_details</t>
        </is>
      </c>
      <c r="D13" s="24" t="inlineStr">
        <is>
          <t>V/C/E/D</t>
        </is>
      </c>
      <c r="E13" s="24" t="inlineStr">
        <is>
          <t>V/C/E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</row>
    <row r="14">
      <c r="A14" s="27" t="n">
        <v>10</v>
      </c>
      <c r="B14" s="12" t="inlineStr">
        <is>
          <t>Settlement Summary</t>
        </is>
      </c>
      <c r="C14" s="12" t="inlineStr">
        <is>
          <t>/settlement_summary</t>
        </is>
      </c>
      <c r="D14" s="29" t="inlineStr">
        <is>
          <t>V/C/E/D</t>
        </is>
      </c>
      <c r="E14" s="29" t="inlineStr">
        <is>
          <t>V/C/E</t>
        </is>
      </c>
      <c r="F14" s="27" t="inlineStr">
        <is>
          <t>-</t>
        </is>
      </c>
      <c r="G14" s="27" t="inlineStr">
        <is>
          <t>-</t>
        </is>
      </c>
      <c r="H14" s="27" t="inlineStr">
        <is>
          <t>-</t>
        </is>
      </c>
    </row>
    <row r="15">
      <c r="A15" s="22" t="n">
        <v>11</v>
      </c>
      <c r="B15" s="8" t="inlineStr">
        <is>
          <t>Guest Enquiry</t>
        </is>
      </c>
      <c r="C15" s="8" t="inlineStr">
        <is>
          <t>/guest_enquiry</t>
        </is>
      </c>
      <c r="D15" s="24" t="inlineStr">
        <is>
          <t>V/C/E/D</t>
        </is>
      </c>
      <c r="E15" s="24" t="inlineStr">
        <is>
          <t>V/C/E</t>
        </is>
      </c>
      <c r="F15" s="24" t="inlineStr">
        <is>
          <t>V/C/E</t>
        </is>
      </c>
      <c r="G15" s="22" t="inlineStr">
        <is>
          <t>-</t>
        </is>
      </c>
      <c r="H15" s="22" t="inlineStr">
        <is>
          <t>-</t>
        </is>
      </c>
    </row>
    <row r="16">
      <c r="A16" s="27" t="n">
        <v>12</v>
      </c>
      <c r="B16" s="12" t="inlineStr">
        <is>
          <t>Task Assign</t>
        </is>
      </c>
      <c r="C16" s="12" t="inlineStr">
        <is>
          <t>/task_assign</t>
        </is>
      </c>
      <c r="D16" s="29" t="inlineStr">
        <is>
          <t>V/C/E/D</t>
        </is>
      </c>
      <c r="E16" s="29" t="inlineStr">
        <is>
          <t>V</t>
        </is>
      </c>
      <c r="F16" s="27" t="inlineStr">
        <is>
          <t>-</t>
        </is>
      </c>
      <c r="G16" s="29" t="inlineStr">
        <is>
          <t>V/C/E</t>
        </is>
      </c>
      <c r="H16" s="27" t="inlineStr">
        <is>
          <t>-</t>
        </is>
      </c>
    </row>
    <row r="17">
      <c r="A17" s="22" t="n">
        <v>13</v>
      </c>
      <c r="B17" s="8" t="inlineStr">
        <is>
          <t>Room Incident Log</t>
        </is>
      </c>
      <c r="C17" s="8" t="inlineStr">
        <is>
          <t>/room_incident_log</t>
        </is>
      </c>
      <c r="D17" s="24" t="inlineStr">
        <is>
          <t>V/C/E/D</t>
        </is>
      </c>
      <c r="E17" s="24" t="inlineStr">
        <is>
          <t>V</t>
        </is>
      </c>
      <c r="F17" s="22" t="inlineStr">
        <is>
          <t>-</t>
        </is>
      </c>
      <c r="G17" s="24" t="inlineStr">
        <is>
          <t>V/C/E</t>
        </is>
      </c>
      <c r="H17" s="22" t="inlineStr">
        <is>
          <t>-</t>
        </is>
      </c>
    </row>
    <row r="18">
      <c r="A18" s="27" t="n">
        <v>14</v>
      </c>
      <c r="B18" s="12" t="inlineStr">
        <is>
          <t>Employee</t>
        </is>
      </c>
      <c r="C18" s="12" t="inlineStr">
        <is>
          <t>/employee</t>
        </is>
      </c>
      <c r="D18" s="29" t="inlineStr">
        <is>
          <t>V/C/E/D</t>
        </is>
      </c>
      <c r="E18" s="27" t="inlineStr">
        <is>
          <t>-</t>
        </is>
      </c>
      <c r="F18" s="27" t="inlineStr">
        <is>
          <t>-</t>
        </is>
      </c>
      <c r="G18" s="27" t="inlineStr">
        <is>
          <t>-</t>
        </is>
      </c>
      <c r="H18" s="27" t="inlineStr">
        <is>
          <t>-</t>
        </is>
      </c>
    </row>
    <row r="19">
      <c r="A19" s="22" t="n">
        <v>15</v>
      </c>
      <c r="B19" s="8" t="inlineStr">
        <is>
          <t>User</t>
        </is>
      </c>
      <c r="C19" s="8" t="inlineStr">
        <is>
          <t>/user</t>
        </is>
      </c>
      <c r="D19" s="24" t="inlineStr">
        <is>
          <t>V/C/E/D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</row>
    <row r="20">
      <c r="A20" s="27" t="n">
        <v>16</v>
      </c>
      <c r="B20" s="12" t="inlineStr">
        <is>
          <t>Roles</t>
        </is>
      </c>
      <c r="C20" s="12" t="inlineStr">
        <is>
          <t>/roles</t>
        </is>
      </c>
      <c r="D20" s="29" t="inlineStr">
        <is>
          <t>V/C/E/D</t>
        </is>
      </c>
      <c r="E20" s="27" t="inlineStr">
        <is>
          <t>-</t>
        </is>
      </c>
      <c r="F20" s="27" t="inlineStr">
        <is>
          <t>-</t>
        </is>
      </c>
      <c r="G20" s="27" t="inlineStr">
        <is>
          <t>-</t>
        </is>
      </c>
      <c r="H20" s="27" t="inlineStr">
        <is>
          <t>-</t>
        </is>
      </c>
    </row>
    <row r="21">
      <c r="A21" s="22" t="n">
        <v>17</v>
      </c>
      <c r="B21" s="8" t="inlineStr">
        <is>
          <t>Department</t>
        </is>
      </c>
      <c r="C21" s="8" t="inlineStr">
        <is>
          <t>/department</t>
        </is>
      </c>
      <c r="D21" s="24" t="inlineStr">
        <is>
          <t>V/C/E/D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</row>
    <row r="22">
      <c r="A22" s="27" t="n">
        <v>18</v>
      </c>
      <c r="B22" s="12" t="inlineStr">
        <is>
          <t>Designation</t>
        </is>
      </c>
      <c r="C22" s="12" t="inlineStr">
        <is>
          <t>/designation</t>
        </is>
      </c>
      <c r="D22" s="29" t="inlineStr">
        <is>
          <t>V/C/E/D</t>
        </is>
      </c>
      <c r="E22" s="27" t="inlineStr">
        <is>
          <t>-</t>
        </is>
      </c>
      <c r="F22" s="27" t="inlineStr">
        <is>
          <t>-</t>
        </is>
      </c>
      <c r="G22" s="27" t="inlineStr">
        <is>
          <t>-</t>
        </is>
      </c>
      <c r="H22" s="27" t="inlineStr">
        <is>
          <t>-</t>
        </is>
      </c>
    </row>
    <row r="23">
      <c r="A23" s="22" t="n">
        <v>19</v>
      </c>
      <c r="B23" s="8" t="inlineStr">
        <is>
          <t>Shift</t>
        </is>
      </c>
      <c r="C23" s="8" t="inlineStr">
        <is>
          <t>/shift</t>
        </is>
      </c>
      <c r="D23" s="24" t="inlineStr">
        <is>
          <t>V/C/E/D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</row>
    <row r="24">
      <c r="A24" s="27" t="n">
        <v>20</v>
      </c>
      <c r="B24" s="12" t="inlineStr">
        <is>
          <t>Restaurant Roster</t>
        </is>
      </c>
      <c r="C24" s="12" t="inlineStr">
        <is>
          <t>/restaurant_roster</t>
        </is>
      </c>
      <c r="D24" s="29" t="inlineStr">
        <is>
          <t>V/C/E/D</t>
        </is>
      </c>
      <c r="E24" s="27" t="inlineStr">
        <is>
          <t>-</t>
        </is>
      </c>
      <c r="F24" s="27" t="inlineStr">
        <is>
          <t>-</t>
        </is>
      </c>
      <c r="G24" s="27" t="inlineStr">
        <is>
          <t>-</t>
        </is>
      </c>
      <c r="H24" s="27" t="inlineStr">
        <is>
          <t>-</t>
        </is>
      </c>
    </row>
    <row r="25">
      <c r="A25" s="22" t="n">
        <v>21</v>
      </c>
      <c r="B25" s="8" t="inlineStr">
        <is>
          <t>Restaurant Shift Planning</t>
        </is>
      </c>
      <c r="C25" s="8" t="inlineStr">
        <is>
          <t>/restaurant_shift_planning</t>
        </is>
      </c>
      <c r="D25" s="24" t="inlineStr">
        <is>
          <t>V/C/E/D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</row>
    <row r="26">
      <c r="A26" s="27" t="n">
        <v>22</v>
      </c>
      <c r="B26" s="12" t="inlineStr">
        <is>
          <t>Bar Roster</t>
        </is>
      </c>
      <c r="C26" s="12" t="inlineStr">
        <is>
          <t>/bar_roster</t>
        </is>
      </c>
      <c r="D26" s="29" t="inlineStr">
        <is>
          <t>V/C/E/D</t>
        </is>
      </c>
      <c r="E26" s="27" t="inlineStr">
        <is>
          <t>-</t>
        </is>
      </c>
      <c r="F26" s="27" t="inlineStr">
        <is>
          <t>-</t>
        </is>
      </c>
      <c r="G26" s="27" t="inlineStr">
        <is>
          <t>-</t>
        </is>
      </c>
      <c r="H26" s="27" t="inlineStr">
        <is>
          <t>-</t>
        </is>
      </c>
    </row>
    <row r="27">
      <c r="A27" s="22" t="n">
        <v>23</v>
      </c>
      <c r="B27" s="8" t="inlineStr">
        <is>
          <t>Bar Shift Planning</t>
        </is>
      </c>
      <c r="C27" s="8" t="inlineStr">
        <is>
          <t>/bar_shift_planning</t>
        </is>
      </c>
      <c r="D27" s="24" t="inlineStr">
        <is>
          <t>V/C/E/D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</row>
    <row r="28">
      <c r="A28" s="27" t="n">
        <v>24</v>
      </c>
      <c r="B28" s="12" t="inlineStr">
        <is>
          <t>Menu Management</t>
        </is>
      </c>
      <c r="C28" s="12" t="inlineStr">
        <is>
          <t>/menus</t>
        </is>
      </c>
      <c r="D28" s="29" t="inlineStr">
        <is>
          <t>V/C/E/D</t>
        </is>
      </c>
      <c r="E28" s="27" t="inlineStr">
        <is>
          <t>-</t>
        </is>
      </c>
      <c r="F28" s="27" t="inlineStr">
        <is>
          <t>-</t>
        </is>
      </c>
      <c r="G28" s="27" t="inlineStr">
        <is>
          <t>-</t>
        </is>
      </c>
      <c r="H28" s="29" t="inlineStr">
        <is>
          <t>V/C/E</t>
        </is>
      </c>
    </row>
    <row r="29">
      <c r="A29" s="22" t="n">
        <v>25</v>
      </c>
      <c r="B29" s="8" t="inlineStr">
        <is>
          <t>Combo / Package Deals</t>
        </is>
      </c>
      <c r="C29" s="8" t="inlineStr">
        <is>
          <t>/combo_deals</t>
        </is>
      </c>
      <c r="D29" s="24" t="inlineStr">
        <is>
          <t>V/C/E/D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4" t="inlineStr">
        <is>
          <t>V/C/E</t>
        </is>
      </c>
    </row>
    <row r="30">
      <c r="A30" s="27" t="n">
        <v>26</v>
      </c>
      <c r="B30" s="12" t="inlineStr">
        <is>
          <t>Floor Layout</t>
        </is>
      </c>
      <c r="C30" s="12" t="inlineStr">
        <is>
          <t>/floor_layout</t>
        </is>
      </c>
      <c r="D30" s="29" t="inlineStr">
        <is>
          <t>V/C/E/D</t>
        </is>
      </c>
      <c r="E30" s="27" t="inlineStr">
        <is>
          <t>-</t>
        </is>
      </c>
      <c r="F30" s="27" t="inlineStr">
        <is>
          <t>-</t>
        </is>
      </c>
      <c r="G30" s="27" t="inlineStr">
        <is>
          <t>-</t>
        </is>
      </c>
      <c r="H30" s="29" t="inlineStr">
        <is>
          <t>V/C/E</t>
        </is>
      </c>
    </row>
    <row r="31">
      <c r="A31" s="22" t="n">
        <v>27</v>
      </c>
      <c r="B31" s="8" t="inlineStr">
        <is>
          <t>Table Master</t>
        </is>
      </c>
      <c r="C31" s="8" t="inlineStr">
        <is>
          <t>/table_master</t>
        </is>
      </c>
      <c r="D31" s="24" t="inlineStr">
        <is>
          <t>V/C/E/D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4" t="inlineStr">
        <is>
          <t>V/C/E</t>
        </is>
      </c>
    </row>
    <row r="32">
      <c r="A32" s="27" t="n">
        <v>28</v>
      </c>
      <c r="B32" s="12" t="inlineStr">
        <is>
          <t>Order Management</t>
        </is>
      </c>
      <c r="C32" s="12" t="inlineStr">
        <is>
          <t>/orders</t>
        </is>
      </c>
      <c r="D32" s="29" t="inlineStr">
        <is>
          <t>V/C/E/D</t>
        </is>
      </c>
      <c r="E32" s="27" t="inlineStr">
        <is>
          <t>-</t>
        </is>
      </c>
      <c r="F32" s="27" t="inlineStr">
        <is>
          <t>-</t>
        </is>
      </c>
      <c r="G32" s="27" t="inlineStr">
        <is>
          <t>-</t>
        </is>
      </c>
      <c r="H32" s="29" t="inlineStr">
        <is>
          <t>V/C/E</t>
        </is>
      </c>
    </row>
    <row r="33">
      <c r="A33" s="22" t="n">
        <v>29</v>
      </c>
      <c r="B33" s="8" t="inlineStr">
        <is>
          <t>Table Reservation</t>
        </is>
      </c>
      <c r="C33" s="8" t="inlineStr">
        <is>
          <t>/table_reservation</t>
        </is>
      </c>
      <c r="D33" s="24" t="inlineStr">
        <is>
          <t>V/C/E/D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4" t="inlineStr">
        <is>
          <t>V/C/E</t>
        </is>
      </c>
    </row>
    <row r="34">
      <c r="A34" s="27" t="n">
        <v>30</v>
      </c>
      <c r="B34" s="12" t="inlineStr">
        <is>
          <t>Main Kitchen</t>
        </is>
      </c>
      <c r="C34" s="12" t="inlineStr">
        <is>
          <t>/kot/main_kitchen</t>
        </is>
      </c>
      <c r="D34" s="29" t="inlineStr">
        <is>
          <t>V/C/E/D</t>
        </is>
      </c>
      <c r="E34" s="27" t="inlineStr">
        <is>
          <t>-</t>
        </is>
      </c>
      <c r="F34" s="27" t="inlineStr">
        <is>
          <t>-</t>
        </is>
      </c>
      <c r="G34" s="27" t="inlineStr">
        <is>
          <t>-</t>
        </is>
      </c>
      <c r="H34" s="29" t="inlineStr">
        <is>
          <t>V/C/E</t>
        </is>
      </c>
    </row>
    <row r="35">
      <c r="A35" s="22" t="n">
        <v>31</v>
      </c>
      <c r="B35" s="8" t="inlineStr">
        <is>
          <t>Grill Kitchen</t>
        </is>
      </c>
      <c r="C35" s="8" t="inlineStr">
        <is>
          <t>/kot/grill</t>
        </is>
      </c>
      <c r="D35" s="24" t="inlineStr">
        <is>
          <t>V/C/E/D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4" t="inlineStr">
        <is>
          <t>V/C/E</t>
        </is>
      </c>
    </row>
    <row r="36">
      <c r="A36" s="27" t="n">
        <v>32</v>
      </c>
      <c r="B36" s="12" t="inlineStr">
        <is>
          <t>Dessert Kitchen</t>
        </is>
      </c>
      <c r="C36" s="12" t="inlineStr">
        <is>
          <t>/kot/dessert</t>
        </is>
      </c>
      <c r="D36" s="29" t="inlineStr">
        <is>
          <t>V/C/E/D</t>
        </is>
      </c>
      <c r="E36" s="27" t="inlineStr">
        <is>
          <t>-</t>
        </is>
      </c>
      <c r="F36" s="27" t="inlineStr">
        <is>
          <t>-</t>
        </is>
      </c>
      <c r="G36" s="27" t="inlineStr">
        <is>
          <t>-</t>
        </is>
      </c>
      <c r="H36" s="29" t="inlineStr">
        <is>
          <t>V/C/E</t>
        </is>
      </c>
    </row>
    <row r="37">
      <c r="A37" s="22" t="n">
        <v>33</v>
      </c>
      <c r="B37" s="8" t="inlineStr">
        <is>
          <t>Billing &amp; Payments</t>
        </is>
      </c>
      <c r="C37" s="8" t="inlineStr">
        <is>
          <t>/billing_payments</t>
        </is>
      </c>
      <c r="D37" s="24" t="inlineStr">
        <is>
          <t>V/C/E/D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4" t="inlineStr">
        <is>
          <t>V/C/E</t>
        </is>
      </c>
    </row>
    <row r="38">
      <c r="A38" s="27" t="n">
        <v>34</v>
      </c>
      <c r="B38" s="12" t="inlineStr">
        <is>
          <t>Inventory Control</t>
        </is>
      </c>
      <c r="C38" s="12" t="inlineStr">
        <is>
          <t>/stock</t>
        </is>
      </c>
      <c r="D38" s="29" t="inlineStr">
        <is>
          <t>V/C/E/D</t>
        </is>
      </c>
      <c r="E38" s="27" t="inlineStr">
        <is>
          <t>-</t>
        </is>
      </c>
      <c r="F38" s="27" t="inlineStr">
        <is>
          <t>-</t>
        </is>
      </c>
      <c r="G38" s="27" t="inlineStr">
        <is>
          <t>-</t>
        </is>
      </c>
      <c r="H38" s="29" t="inlineStr">
        <is>
          <t>V/C/E</t>
        </is>
      </c>
    </row>
    <row r="39">
      <c r="A39" s="22" t="n">
        <v>35</v>
      </c>
      <c r="B39" s="8" t="inlineStr">
        <is>
          <t>Recipe Management</t>
        </is>
      </c>
      <c r="C39" s="8" t="inlineStr">
        <is>
          <t>/recipe_management</t>
        </is>
      </c>
      <c r="D39" s="24" t="inlineStr">
        <is>
          <t>V/C/E/D</t>
        </is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4" t="inlineStr">
        <is>
          <t>V/C/E</t>
        </is>
      </c>
    </row>
    <row r="40">
      <c r="A40" s="27" t="n">
        <v>36</v>
      </c>
      <c r="B40" s="12" t="inlineStr">
        <is>
          <t>Guest Management</t>
        </is>
      </c>
      <c r="C40" s="12" t="inlineStr">
        <is>
          <t>/guest_management</t>
        </is>
      </c>
      <c r="D40" s="29" t="inlineStr">
        <is>
          <t>V/C/E/D</t>
        </is>
      </c>
      <c r="E40" s="27" t="inlineStr">
        <is>
          <t>-</t>
        </is>
      </c>
      <c r="F40" s="27" t="inlineStr">
        <is>
          <t>-</t>
        </is>
      </c>
      <c r="G40" s="27" t="inlineStr">
        <is>
          <t>-</t>
        </is>
      </c>
      <c r="H40" s="29" t="inlineStr">
        <is>
          <t>V/C/E</t>
        </is>
      </c>
    </row>
    <row r="41">
      <c r="A41" s="22" t="n">
        <v>37</v>
      </c>
      <c r="B41" s="8" t="inlineStr">
        <is>
          <t>Report &amp; Analytics</t>
        </is>
      </c>
      <c r="C41" s="8" t="inlineStr">
        <is>
          <t>/reports_analytics</t>
        </is>
      </c>
      <c r="D41" s="24" t="inlineStr">
        <is>
          <t>V/C/E/D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4" t="inlineStr">
        <is>
          <t>V/C/E</t>
        </is>
      </c>
    </row>
    <row r="42">
      <c r="A42" s="27" t="n">
        <v>38</v>
      </c>
      <c r="B42" s="12" t="inlineStr">
        <is>
          <t>Menu Management</t>
        </is>
      </c>
      <c r="C42" s="12" t="inlineStr">
        <is>
          <t>/bar_menus</t>
        </is>
      </c>
      <c r="D42" s="29" t="inlineStr">
        <is>
          <t>V/C/E/D</t>
        </is>
      </c>
      <c r="E42" s="27" t="inlineStr">
        <is>
          <t>-</t>
        </is>
      </c>
      <c r="F42" s="27" t="inlineStr">
        <is>
          <t>-</t>
        </is>
      </c>
      <c r="G42" s="27" t="inlineStr">
        <is>
          <t>-</t>
        </is>
      </c>
      <c r="H42" s="29" t="inlineStr">
        <is>
          <t>V/C/E</t>
        </is>
      </c>
    </row>
    <row r="43">
      <c r="A43" s="22" t="n">
        <v>39</v>
      </c>
      <c r="B43" s="8" t="inlineStr">
        <is>
          <t>Floor Layout</t>
        </is>
      </c>
      <c r="C43" s="8" t="inlineStr">
        <is>
          <t>/bar_floor_layout</t>
        </is>
      </c>
      <c r="D43" s="24" t="inlineStr">
        <is>
          <t>V/C/E/D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4" t="inlineStr">
        <is>
          <t>V/C/E</t>
        </is>
      </c>
    </row>
    <row r="44">
      <c r="A44" s="27" t="n">
        <v>40</v>
      </c>
      <c r="B44" s="12" t="inlineStr">
        <is>
          <t>Table Master</t>
        </is>
      </c>
      <c r="C44" s="12" t="inlineStr">
        <is>
          <t>/bar_table_master</t>
        </is>
      </c>
      <c r="D44" s="29" t="inlineStr">
        <is>
          <t>V/C/E/D</t>
        </is>
      </c>
      <c r="E44" s="27" t="inlineStr">
        <is>
          <t>-</t>
        </is>
      </c>
      <c r="F44" s="27" t="inlineStr">
        <is>
          <t>-</t>
        </is>
      </c>
      <c r="G44" s="27" t="inlineStr">
        <is>
          <t>-</t>
        </is>
      </c>
      <c r="H44" s="29" t="inlineStr">
        <is>
          <t>V/C/E</t>
        </is>
      </c>
    </row>
    <row r="45">
      <c r="A45" s="22" t="n">
        <v>41</v>
      </c>
      <c r="B45" s="8" t="inlineStr">
        <is>
          <t>Order Management</t>
        </is>
      </c>
      <c r="C45" s="8" t="inlineStr">
        <is>
          <t>/bar_orders</t>
        </is>
      </c>
      <c r="D45" s="24" t="inlineStr">
        <is>
          <t>V/C/E/D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4" t="inlineStr">
        <is>
          <t>V/C/E</t>
        </is>
      </c>
    </row>
    <row r="46">
      <c r="A46" s="27" t="n">
        <v>42</v>
      </c>
      <c r="B46" s="12" t="inlineStr">
        <is>
          <t>Station Display</t>
        </is>
      </c>
      <c r="C46" s="12" t="inlineStr">
        <is>
          <t>/bar_station</t>
        </is>
      </c>
      <c r="D46" s="29" t="inlineStr">
        <is>
          <t>V/C/E/D</t>
        </is>
      </c>
      <c r="E46" s="27" t="inlineStr">
        <is>
          <t>-</t>
        </is>
      </c>
      <c r="F46" s="27" t="inlineStr">
        <is>
          <t>-</t>
        </is>
      </c>
      <c r="G46" s="27" t="inlineStr">
        <is>
          <t>-</t>
        </is>
      </c>
      <c r="H46" s="29" t="inlineStr">
        <is>
          <t>V/C/E</t>
        </is>
      </c>
    </row>
    <row r="47">
      <c r="A47" s="22" t="n">
        <v>43</v>
      </c>
      <c r="B47" s="8" t="inlineStr">
        <is>
          <t>Billing &amp; Payments</t>
        </is>
      </c>
      <c r="C47" s="8" t="inlineStr">
        <is>
          <t>/bar_billing_payments</t>
        </is>
      </c>
      <c r="D47" s="24" t="inlineStr">
        <is>
          <t>V/C/E/D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4" t="inlineStr">
        <is>
          <t>V/C/E</t>
        </is>
      </c>
    </row>
    <row r="48">
      <c r="A48" s="27" t="n">
        <v>44</v>
      </c>
      <c r="B48" s="12" t="inlineStr">
        <is>
          <t>Stock</t>
        </is>
      </c>
      <c r="C48" s="12" t="inlineStr">
        <is>
          <t>/bar_stock</t>
        </is>
      </c>
      <c r="D48" s="29" t="inlineStr">
        <is>
          <t>V/C/E/D</t>
        </is>
      </c>
      <c r="E48" s="27" t="inlineStr">
        <is>
          <t>-</t>
        </is>
      </c>
      <c r="F48" s="27" t="inlineStr">
        <is>
          <t>-</t>
        </is>
      </c>
      <c r="G48" s="27" t="inlineStr">
        <is>
          <t>-</t>
        </is>
      </c>
      <c r="H48" s="29" t="inlineStr">
        <is>
          <t>V/C/E</t>
        </is>
      </c>
    </row>
    <row r="49">
      <c r="A49" s="22" t="n">
        <v>45</v>
      </c>
      <c r="B49" s="8" t="inlineStr">
        <is>
          <t>Recipe Management</t>
        </is>
      </c>
      <c r="C49" s="8" t="inlineStr">
        <is>
          <t>/bar_recipe_management</t>
        </is>
      </c>
      <c r="D49" s="24" t="inlineStr">
        <is>
          <t>V/C/E/D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4" t="inlineStr">
        <is>
          <t>V/C/E</t>
        </is>
      </c>
    </row>
    <row r="50">
      <c r="A50" s="27" t="n">
        <v>46</v>
      </c>
      <c r="B50" s="12" t="inlineStr">
        <is>
          <t>Guest Management</t>
        </is>
      </c>
      <c r="C50" s="12" t="inlineStr">
        <is>
          <t>/bar_guest_management</t>
        </is>
      </c>
      <c r="D50" s="29" t="inlineStr">
        <is>
          <t>V/C/E/D</t>
        </is>
      </c>
      <c r="E50" s="27" t="inlineStr">
        <is>
          <t>-</t>
        </is>
      </c>
      <c r="F50" s="27" t="inlineStr">
        <is>
          <t>-</t>
        </is>
      </c>
      <c r="G50" s="27" t="inlineStr">
        <is>
          <t>-</t>
        </is>
      </c>
      <c r="H50" s="29" t="inlineStr">
        <is>
          <t>V/C/E</t>
        </is>
      </c>
    </row>
    <row r="51">
      <c r="A51" s="22" t="n">
        <v>47</v>
      </c>
      <c r="B51" s="8" t="inlineStr">
        <is>
          <t>Report &amp; Analytics</t>
        </is>
      </c>
      <c r="C51" s="8" t="inlineStr">
        <is>
          <t>/bar_reports_analytics</t>
        </is>
      </c>
      <c r="D51" s="24" t="inlineStr">
        <is>
          <t>V/C/E/D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4" t="inlineStr">
        <is>
          <t>V/C/E</t>
        </is>
      </c>
    </row>
    <row r="52">
      <c r="A52" s="27" t="n">
        <v>48</v>
      </c>
      <c r="B52" s="12" t="inlineStr">
        <is>
          <t>Facilities</t>
        </is>
      </c>
      <c r="C52" s="12" t="inlineStr">
        <is>
          <t>/facilities</t>
        </is>
      </c>
      <c r="D52" s="29" t="inlineStr">
        <is>
          <t>V/C/E/D</t>
        </is>
      </c>
      <c r="E52" s="29" t="inlineStr">
        <is>
          <t>V</t>
        </is>
      </c>
      <c r="F52" s="27" t="inlineStr">
        <is>
          <t>-</t>
        </is>
      </c>
      <c r="G52" s="27" t="inlineStr">
        <is>
          <t>-</t>
        </is>
      </c>
      <c r="H52" s="27" t="inlineStr">
        <is>
          <t>-</t>
        </is>
      </c>
    </row>
    <row r="53">
      <c r="A53" s="22" t="n">
        <v>49</v>
      </c>
      <c r="B53" s="8" t="inlineStr">
        <is>
          <t>Room Type</t>
        </is>
      </c>
      <c r="C53" s="8" t="inlineStr">
        <is>
          <t>/room_type</t>
        </is>
      </c>
      <c r="D53" s="24" t="inlineStr">
        <is>
          <t>V/C/E/D</t>
        </is>
      </c>
      <c r="E53" s="24" t="inlineStr">
        <is>
          <t>V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</row>
    <row r="54">
      <c r="A54" s="27" t="n">
        <v>50</v>
      </c>
      <c r="B54" s="12" t="inlineStr">
        <is>
          <t>Bed Type</t>
        </is>
      </c>
      <c r="C54" s="12" t="inlineStr">
        <is>
          <t>/bed_type</t>
        </is>
      </c>
      <c r="D54" s="29" t="inlineStr">
        <is>
          <t>V/C/E/D</t>
        </is>
      </c>
      <c r="E54" s="29" t="inlineStr">
        <is>
          <t>V</t>
        </is>
      </c>
      <c r="F54" s="27" t="inlineStr">
        <is>
          <t>-</t>
        </is>
      </c>
      <c r="G54" s="27" t="inlineStr">
        <is>
          <t>-</t>
        </is>
      </c>
      <c r="H54" s="27" t="inlineStr">
        <is>
          <t>-</t>
        </is>
      </c>
    </row>
    <row r="55">
      <c r="A55" s="22" t="n">
        <v>51</v>
      </c>
      <c r="B55" s="8" t="inlineStr">
        <is>
          <t>Hall / Floor</t>
        </is>
      </c>
      <c r="C55" s="8" t="inlineStr">
        <is>
          <t>/hall_floor</t>
        </is>
      </c>
      <c r="D55" s="24" t="inlineStr">
        <is>
          <t>V/C/E/D</t>
        </is>
      </c>
      <c r="E55" s="24" t="inlineStr">
        <is>
          <t>V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</row>
    <row r="56">
      <c r="A56" s="27" t="n">
        <v>52</v>
      </c>
      <c r="B56" s="12" t="inlineStr">
        <is>
          <t>Rooms</t>
        </is>
      </c>
      <c r="C56" s="12" t="inlineStr">
        <is>
          <t>/rooms</t>
        </is>
      </c>
      <c r="D56" s="29" t="inlineStr">
        <is>
          <t>V/C/E/D</t>
        </is>
      </c>
      <c r="E56" s="29" t="inlineStr">
        <is>
          <t>V</t>
        </is>
      </c>
      <c r="F56" s="27" t="inlineStr">
        <is>
          <t>-</t>
        </is>
      </c>
      <c r="G56" s="27" t="inlineStr">
        <is>
          <t>-</t>
        </is>
      </c>
      <c r="H56" s="27" t="inlineStr">
        <is>
          <t>-</t>
        </is>
      </c>
    </row>
    <row r="57">
      <c r="A57" s="22" t="n">
        <v>53</v>
      </c>
      <c r="B57" s="8" t="inlineStr">
        <is>
          <t>Discount Type</t>
        </is>
      </c>
      <c r="C57" s="8" t="inlineStr">
        <is>
          <t>/discount_type</t>
        </is>
      </c>
      <c r="D57" s="24" t="inlineStr">
        <is>
          <t>V/C/E/D</t>
        </is>
      </c>
      <c r="E57" s="24" t="inlineStr">
        <is>
          <t>V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</row>
    <row r="58">
      <c r="A58" s="27" t="n">
        <v>54</v>
      </c>
      <c r="B58" s="12" t="inlineStr">
        <is>
          <t>Tax Types</t>
        </is>
      </c>
      <c r="C58" s="12" t="inlineStr">
        <is>
          <t>/tax_types</t>
        </is>
      </c>
      <c r="D58" s="29" t="inlineStr">
        <is>
          <t>V/C/E/D</t>
        </is>
      </c>
      <c r="E58" s="29" t="inlineStr">
        <is>
          <t>V</t>
        </is>
      </c>
      <c r="F58" s="27" t="inlineStr">
        <is>
          <t>-</t>
        </is>
      </c>
      <c r="G58" s="27" t="inlineStr">
        <is>
          <t>-</t>
        </is>
      </c>
      <c r="H58" s="27" t="inlineStr">
        <is>
          <t>-</t>
        </is>
      </c>
    </row>
    <row r="59">
      <c r="A59" s="22" t="n">
        <v>55</v>
      </c>
      <c r="B59" s="8" t="inlineStr">
        <is>
          <t>Payment Methods</t>
        </is>
      </c>
      <c r="C59" s="8" t="inlineStr">
        <is>
          <t>/payment_methods</t>
        </is>
      </c>
      <c r="D59" s="24" t="inlineStr">
        <is>
          <t>V/C/E/D</t>
        </is>
      </c>
      <c r="E59" s="24" t="inlineStr">
        <is>
          <t>V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</row>
    <row r="60">
      <c r="A60" s="27" t="n">
        <v>56</v>
      </c>
      <c r="B60" s="12" t="inlineStr">
        <is>
          <t>Identification Proof</t>
        </is>
      </c>
      <c r="C60" s="12" t="inlineStr">
        <is>
          <t>/identification_proof</t>
        </is>
      </c>
      <c r="D60" s="29" t="inlineStr">
        <is>
          <t>V/C/E/D</t>
        </is>
      </c>
      <c r="E60" s="29" t="inlineStr">
        <is>
          <t>V</t>
        </is>
      </c>
      <c r="F60" s="27" t="inlineStr">
        <is>
          <t>-</t>
        </is>
      </c>
      <c r="G60" s="27" t="inlineStr">
        <is>
          <t>-</t>
        </is>
      </c>
      <c r="H60" s="27" t="inlineStr">
        <is>
          <t>-</t>
        </is>
      </c>
    </row>
    <row r="61">
      <c r="A61" s="22" t="n">
        <v>57</v>
      </c>
      <c r="B61" s="8" t="inlineStr">
        <is>
          <t>Currency &amp; Country</t>
        </is>
      </c>
      <c r="C61" s="8" t="inlineStr">
        <is>
          <t>/currency_country</t>
        </is>
      </c>
      <c r="D61" s="24" t="inlineStr">
        <is>
          <t>V/C/E/D</t>
        </is>
      </c>
      <c r="E61" s="24" t="inlineStr">
        <is>
          <t>V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</row>
    <row r="62">
      <c r="A62" s="27" t="n">
        <v>58</v>
      </c>
      <c r="B62" s="12" t="inlineStr">
        <is>
          <t>HSK Task Type</t>
        </is>
      </c>
      <c r="C62" s="12" t="inlineStr">
        <is>
          <t>/hsk_task_type</t>
        </is>
      </c>
      <c r="D62" s="29" t="inlineStr">
        <is>
          <t>V/C/E/D</t>
        </is>
      </c>
      <c r="E62" s="29" t="inlineStr">
        <is>
          <t>V</t>
        </is>
      </c>
      <c r="F62" s="27" t="inlineStr">
        <is>
          <t>-</t>
        </is>
      </c>
      <c r="G62" s="27" t="inlineStr">
        <is>
          <t>-</t>
        </is>
      </c>
      <c r="H62" s="27" t="inlineStr">
        <is>
          <t>-</t>
        </is>
      </c>
    </row>
    <row r="63">
      <c r="A63" s="22" t="n">
        <v>59</v>
      </c>
      <c r="B63" s="8" t="inlineStr">
        <is>
          <t>Complementary</t>
        </is>
      </c>
      <c r="C63" s="8" t="inlineStr">
        <is>
          <t>/complementary</t>
        </is>
      </c>
      <c r="D63" s="24" t="inlineStr">
        <is>
          <t>V/C/E/D</t>
        </is>
      </c>
      <c r="E63" s="24" t="inlineStr">
        <is>
          <t>V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</row>
    <row r="64">
      <c r="A64" s="27" t="n">
        <v>60</v>
      </c>
      <c r="B64" s="12" t="inlineStr">
        <is>
          <t>Reservation Status</t>
        </is>
      </c>
      <c r="C64" s="12" t="inlineStr">
        <is>
          <t>/reservation_status</t>
        </is>
      </c>
      <c r="D64" s="29" t="inlineStr">
        <is>
          <t>V/C/E/D</t>
        </is>
      </c>
      <c r="E64" s="29" t="inlineStr">
        <is>
          <t>V</t>
        </is>
      </c>
      <c r="F64" s="27" t="inlineStr">
        <is>
          <t>-</t>
        </is>
      </c>
      <c r="G64" s="27" t="inlineStr">
        <is>
          <t>-</t>
        </is>
      </c>
      <c r="H64" s="27" t="inlineStr">
        <is>
          <t>-</t>
        </is>
      </c>
    </row>
    <row r="66">
      <c r="A66" s="17" t="inlineStr"/>
      <c r="B66" s="16" t="inlineStr">
        <is>
          <t>PAGES GRANTED</t>
        </is>
      </c>
      <c r="C66" s="17" t="inlineStr"/>
      <c r="D66" s="18">
        <f>COUNTIF(D5:D64,"&lt;&gt;-")</f>
        <v/>
      </c>
      <c r="E66" s="18">
        <f>COUNTIF(E5:E64,"&lt;&gt;-")</f>
        <v/>
      </c>
      <c r="F66" s="18">
        <f>COUNTIF(F5:F64,"&lt;&gt;-")</f>
        <v/>
      </c>
      <c r="G66" s="18">
        <f>COUNTIF(G5:G64,"&lt;&gt;-")</f>
        <v/>
      </c>
      <c r="H66" s="18">
        <f>COUNTIF(H5:H64,"&lt;&gt;-")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46" customWidth="1" min="3" max="3"/>
    <col width="15" customWidth="1" min="4" max="4"/>
    <col width="27" customWidth="1" min="5" max="5"/>
    <col width="46" customWidth="1" min="6" max="6"/>
    <col width="46" customWidth="1" min="7" max="7"/>
    <col width="34" customWidth="1" min="8" max="8"/>
  </cols>
  <sheetData>
    <row r="1" ht="32" customHeight="1">
      <c r="A1" s="1" t="inlineStr">
        <is>
          <t>Findings - every issue raised by this audit</t>
        </is>
      </c>
    </row>
    <row r="2" ht="20" customHeight="1">
      <c r="A2" s="2" t="inlineStr">
        <is>
          <t>Severity is the impact if exploited or left in place. Status says what has actually happened to it, not what is planned.</t>
        </is>
      </c>
    </row>
    <row r="4" ht="30" customHeight="1">
      <c r="A4" s="6" t="inlineStr">
        <is>
          <t>ID</t>
        </is>
      </c>
      <c r="B4" s="6" t="inlineStr">
        <is>
          <t>Severity</t>
        </is>
      </c>
      <c r="C4" s="6" t="inlineStr">
        <is>
          <t>Finding</t>
        </is>
      </c>
      <c r="D4" s="6" t="inlineStr">
        <is>
          <t>Status</t>
        </is>
      </c>
      <c r="E4" s="6" t="inlineStr">
        <is>
          <t>Where</t>
        </is>
      </c>
      <c r="F4" s="6" t="inlineStr">
        <is>
          <t>Root cause</t>
        </is>
      </c>
      <c r="G4" s="6" t="inlineStr">
        <is>
          <t>Fix</t>
        </is>
      </c>
      <c r="H4" s="6" t="inlineStr">
        <is>
          <t>Evidence</t>
        </is>
      </c>
    </row>
    <row r="5" ht="44" customHeight="1">
      <c r="A5" s="34" t="inlineStr">
        <is>
          <t>QA-SEC-001</t>
        </is>
      </c>
      <c r="B5" s="35" t="inlineStr">
        <is>
          <t>Critical</t>
        </is>
      </c>
      <c r="C5" s="5" t="inlineStr">
        <is>
          <t>Gateway RBAC runs in `audit`: every role can read and write everything</t>
        </is>
      </c>
      <c r="D5" s="15" t="inlineStr">
        <is>
          <t>Fixed in source</t>
        </is>
      </c>
      <c r="E5" s="36" t="inlineStr">
        <is>
          <t>LoginServices/resources/rbac.py</t>
        </is>
      </c>
      <c r="F5" s="36" t="inlineStr">
        <is>
          <t>MODE defaulted to `audit`, so the 279-row map was computed and discarded.</t>
        </is>
      </c>
      <c r="G5" s="36" t="inlineStr">
        <is>
          <t>Default changed to `enforce`; a misspelt value logs CRITICAL and falls forward.</t>
        </is>
      </c>
      <c r="H5" s="23" t="inlineStr">
        <is>
          <t>test_rbac_gateway.py 71 + test_route_policy.py 18</t>
        </is>
      </c>
    </row>
    <row r="6" ht="48" customHeight="1">
      <c r="A6" s="34" t="inlineStr">
        <is>
          <t>QA-SEC-001b</t>
        </is>
      </c>
      <c r="B6" s="35" t="inlineStr">
        <is>
          <t>Critical</t>
        </is>
      </c>
      <c r="C6" s="5" t="inlineStr">
        <is>
          <t>179 write route+method pairs had no authorisation layer at all</t>
        </is>
      </c>
      <c r="D6" s="10" t="inlineStr">
        <is>
          <t>Needs deploy</t>
        </is>
      </c>
      <c r="E6" s="36" t="inlineStr">
        <is>
          <t>All 5 services</t>
        </is>
      </c>
      <c r="F6" s="36" t="inlineStr">
        <is>
          <t>Permissions were enforced only at the gateway; the services themselves checked only that a token was valid.</t>
        </is>
      </c>
      <c r="G6" s="36" t="inlineStr">
        <is>
          <t>Each service now applies its own slice of the same map, generated by the same run. Ships in `audit` so the deploy changes no behaviour.</t>
        </is>
      </c>
      <c r="H6" s="23" t="inlineStr">
        <is>
          <t>18 exhaustive cross-checks; full suite passes under `enforce` too</t>
        </is>
      </c>
    </row>
    <row r="7" ht="44" customHeight="1">
      <c r="A7" s="34" t="inlineStr">
        <is>
          <t>QA-SEC-002</t>
        </is>
      </c>
      <c r="B7" s="35" t="inlineStr">
        <is>
          <t>Critical</t>
        </is>
      </c>
      <c r="C7" s="5" t="inlineStr">
        <is>
          <t>All five backend services answered on the public IP</t>
        </is>
      </c>
      <c r="D7" s="15" t="inlineStr">
        <is>
          <t>Fixed in source</t>
        </is>
      </c>
      <c r="E7" s="36" t="inlineStr">
        <is>
          <t>All 5 services main.py</t>
        </is>
      </c>
      <c r="F7" s="36" t="inlineStr">
        <is>
          <t>Services were started outside start-network.ps1/run.sh, so nothing read SERVICE_HOST and uvicorn bound 0.0.0.0.</t>
        </is>
      </c>
      <c r="G7" s="36" t="inlineStr">
        <is>
          <t>Import-time guard refuses a non-loopback SERVICE_HOST in every env; ALLOW_PUBLIC_BIND=true is the deliberate opt-out.</t>
        </is>
      </c>
      <c r="H7" s="23" t="inlineStr">
        <is>
          <t>test_bind_guard.py: 5 services x 7 cases + message check = 42/42</t>
        </is>
      </c>
    </row>
    <row r="8" ht="48" customHeight="1">
      <c r="A8" s="34" t="inlineStr">
        <is>
          <t>QA-SEC-003</t>
        </is>
      </c>
      <c r="B8" s="35" t="inlineStr">
        <is>
          <t>Critical</t>
        </is>
      </c>
      <c r="C8" s="5" t="inlineStr">
        <is>
          <t>JWT expiry appeared not to be enforced</t>
        </is>
      </c>
      <c r="D8" s="15" t="inlineStr">
        <is>
          <t>Closed</t>
        </is>
      </c>
      <c r="E8" s="36" t="inlineStr">
        <is>
          <t>All 6 services</t>
        </is>
      </c>
      <c r="F8" s="36" t="inlineStr">
        <is>
          <t>Not a defect. The deployment's clock is wrong (QA-SEC-009), and the token was compared against the reviewer's clock.</t>
        </is>
      </c>
      <c r="G8" s="36" t="inlineStr">
        <is>
          <t>No source change needed - the deployment now refuses an expired token on all six surfaces. Added preflight checks 3b/3c so it cannot regress.</t>
        </is>
      </c>
      <c r="H8" s="23" t="inlineStr">
        <is>
          <t>expiry_recheck.py: 401 expired / 200 fresh / 401 mangled, x6 surfaces</t>
        </is>
      </c>
    </row>
    <row r="9" ht="48" customHeight="1">
      <c r="A9" s="34" t="inlineStr">
        <is>
          <t>QA-SEC-009</t>
        </is>
      </c>
      <c r="B9" s="35" t="inlineStr">
        <is>
          <t>Critical</t>
        </is>
      </c>
      <c r="C9" s="5" t="inlineStr">
        <is>
          <t>The deployment's clock is 13.4 hours behind</t>
        </is>
      </c>
      <c r="D9" s="10" t="inlineStr">
        <is>
          <t>Open</t>
        </is>
      </c>
      <c r="E9" s="36" t="inlineStr">
        <is>
          <t>Deployment host (configuration)</t>
        </is>
      </c>
      <c r="F9" s="36" t="inlineStr">
        <is>
          <t>No time sync on the host. Everything the system records is stamped from it: JWT iat/exp, night audit business_date, arrival comparisons, payments.</t>
        </is>
      </c>
      <c r="G9" s="36" t="inlineStr">
        <is>
          <t>NTP on the host. Not a source fix - but preflight check 3b now fails whenever the clocks disagree, so it cannot regress unnoticed.</t>
        </is>
      </c>
      <c r="H9" s="23" t="inlineStr">
        <is>
          <t>clock_and_expiry.py: server Date header vs local, 48209s</t>
        </is>
      </c>
    </row>
    <row r="10" ht="48" customHeight="1">
      <c r="A10" s="34" t="inlineStr">
        <is>
          <t>QA-SEC-004</t>
        </is>
      </c>
      <c r="B10" s="35" t="inlineStr">
        <is>
          <t>Critical</t>
        </is>
      </c>
      <c r="C10" s="5" t="inlineStr">
        <is>
          <t>All six services run with development configuration</t>
        </is>
      </c>
      <c r="D10" s="10" t="inlineStr">
        <is>
          <t>Open</t>
        </is>
      </c>
      <c r="E10" s="36" t="inlineStr">
        <is>
          <t>Deployment configuration</t>
        </is>
      </c>
      <c r="F10" s="36" t="inlineStr">
        <is>
          <t>ASCEND_ENV is not `production`, so /docs, /redoc and /openapi.json are public. No TLS either.</t>
        </is>
      </c>
      <c r="G10" s="36" t="inlineStr">
        <is>
          <t>Set ASCEND_ENV=production and terminate TLS in front of the gateway. verify_prod_env.py already fails this host on ASCEND_ENV alone.</t>
        </is>
      </c>
      <c r="H10" s="23" t="inlineStr">
        <is>
          <t>preflight.py check 1-6</t>
        </is>
      </c>
    </row>
    <row r="11" ht="48" customHeight="1">
      <c r="A11" s="34" t="inlineStr">
        <is>
          <t>QA-BIZ-001</t>
        </is>
      </c>
      <c r="B11" s="35" t="inlineStr">
        <is>
          <t>High</t>
        </is>
      </c>
      <c r="C11" s="5" t="inlineStr">
        <is>
          <t>A cancellation could be re-recorded, destroying the reason</t>
        </is>
      </c>
      <c r="D11" s="15" t="inlineStr">
        <is>
          <t>Fixed in source</t>
        </is>
      </c>
      <c r="E11" s="36" t="inlineStr">
        <is>
          <t>HotelServices reservationController.py</t>
        </is>
      </c>
      <c r="F11" s="36" t="inlineStr">
        <is>
          <t>cancel_reservation had no terminal guard, so a second call overwrote the first call's reason with a default.</t>
        </is>
      </c>
      <c r="G11" s="36" t="inlineStr">
        <is>
          <t>409 when the current state already forbids cancelling. Uses rules.can_offer, the same expression the UI's can_cancel uses, so the button and the endpoint cannot disagree.</t>
        </is>
      </c>
      <c r="H11" s="23" t="inlineStr">
        <is>
          <t>test_reservation_rules.py 111 assertions</t>
        </is>
      </c>
    </row>
    <row r="12" ht="44" customHeight="1">
      <c r="A12" s="34" t="inlineStr">
        <is>
          <t>QA-BIZ-002</t>
        </is>
      </c>
      <c r="B12" s="35" t="inlineStr">
        <is>
          <t>High</t>
        </is>
      </c>
      <c r="C12" s="5" t="inlineStr">
        <is>
          <t>A guest could be quoted a price for a room that cannot be booked</t>
        </is>
      </c>
      <c r="D12" s="15" t="inlineStr">
        <is>
          <t>Fixed in source</t>
        </is>
      </c>
      <c r="E12" s="36" t="inlineStr">
        <is>
          <t>HotelServices reservation_rules.py</t>
        </is>
      </c>
      <c r="F12" s="36" t="inlineStr">
        <is>
          <t>The quote path validated dates and tenant scope but not that the rooms were sellable - blocked, out of order or housekeeping-held.</t>
        </is>
      </c>
      <c r="G12" s="36" t="inlineStr">
        <is>
          <t>Extracted assert_rooms_sellable() and wired it into the quote endpoint.</t>
        </is>
      </c>
      <c r="H12" s="23" t="inlineStr">
        <is>
          <t>test_reservation_rules.py 111 assertions</t>
        </is>
      </c>
    </row>
    <row r="13" ht="44" customHeight="1">
      <c r="A13" s="34" t="inlineStr">
        <is>
          <t>QA-SEC-005</t>
        </is>
      </c>
      <c r="B13" s="35" t="inlineStr">
        <is>
          <t>High</t>
        </is>
      </c>
      <c r="C13" s="5" t="inlineStr">
        <is>
          <t>Guest phone and email reachable from the one page every role holds</t>
        </is>
      </c>
      <c r="D13" s="15" t="inlineStr">
        <is>
          <t>Fixed in source</t>
        </is>
      </c>
      <c r="E13" s="36" t="inlineStr">
        <is>
          <t>HotelDashboardTab.jsx + rbac_map.py</t>
        </is>
      </c>
      <c r="F13" s="36" t="inlineStr">
        <is>
          <t>The dashboard called /hotel/user_activity_log, whose map row granted /dashboard - a page all five roles hold.</t>
        </is>
      </c>
      <c r="G13" s="36" t="inlineStr">
        <is>
          <t>The dashboard card is sourced from reservation_summary + housekeeper_tasks instead; the map row was regenerated, not hand-edited.</t>
        </is>
      </c>
      <c r="H13" s="23" t="inlineStr">
        <is>
          <t>test_rbac_gateway.py 71; map diff is exactly 1 row</t>
        </is>
      </c>
    </row>
    <row r="14" ht="48" customHeight="1">
      <c r="A14" s="34" t="inlineStr">
        <is>
          <t>QA-SEC-006</t>
        </is>
      </c>
      <c r="B14" s="37" t="inlineStr">
        <is>
          <t>Medium</t>
        </is>
      </c>
      <c r="C14" s="5" t="inlineStr">
        <is>
          <t>Housekeeping holds read on the whole reservation book</t>
        </is>
      </c>
      <c r="D14" s="38" t="inlineStr">
        <is>
          <t>Owner decision</t>
        </is>
      </c>
      <c r="E14" s="36" t="inlineStr">
        <is>
          <t>role_permissions seed</t>
        </is>
      </c>
      <c r="F14" s="36" t="inlineStr">
        <is>
          <t>The Housekeeping role is granted view on reservation screens, which shows guest names, phones and emails to a role that does not need them.</t>
        </is>
      </c>
      <c r="G14" s="36" t="inlineStr">
        <is>
          <t>A grant to remove. Needs the business to say what Housekeeping actually needs - which is why it is not changed unilaterally.</t>
        </is>
      </c>
      <c r="H14" s="23" t="inlineStr">
        <is>
          <t>privesc_matrix.py: 8 pages, of which 3 are reservation</t>
        </is>
      </c>
    </row>
    <row r="15" ht="44" customHeight="1">
      <c r="A15" s="34" t="inlineStr">
        <is>
          <t>QA-SEC-007</t>
        </is>
      </c>
      <c r="B15" s="37" t="inlineStr">
        <is>
          <t>Medium</t>
        </is>
      </c>
      <c r="C15" s="5" t="inlineStr">
        <is>
          <t>SPA answers `200 text/html` for every unknown path, including images</t>
        </is>
      </c>
      <c r="D15" s="15" t="inlineStr">
        <is>
          <t>Fixed in source</t>
        </is>
      </c>
      <c r="E15" s="36" t="inlineStr">
        <is>
          <t>Frontend/serve-spa.mjs (new)</t>
        </is>
      </c>
      <c r="F15" s="36" t="inlineStr">
        <is>
          <t>The history fallback was unconditional, so a missing asset returned 200 HTML and could not be distinguished from a working one.</t>
        </is>
      </c>
      <c r="G15" s="36" t="inlineStr">
        <is>
          <t>Fallback now applies only to a client-side route: no extension, and Accept: text/html. Missing assets are a true 404.</t>
        </is>
      </c>
      <c r="H15" s="23" t="inlineStr">
        <is>
          <t>test_spa_fallback.py: 21 checks, counted from the script's [PASS] lines</t>
        </is>
      </c>
    </row>
    <row r="16" ht="44" customHeight="1">
      <c r="A16" s="34" t="inlineStr">
        <is>
          <t>QA-SEC-008</t>
        </is>
      </c>
      <c r="B16" s="35" t="inlineStr">
        <is>
          <t>High</t>
        </is>
      </c>
      <c r="C16" s="5" t="inlineStr">
        <is>
          <t>The demo password was published in committed files</t>
        </is>
      </c>
      <c r="D16" s="10" t="inlineStr">
        <is>
          <t>Partial</t>
        </is>
      </c>
      <c r="E16" s="36" t="inlineStr">
        <is>
          <t>QA/FINAL_QA_REPORT.md, docs/CHERRY_HOTEL_ERP_PAGE_AUDIT.md</t>
        </is>
      </c>
      <c r="F16" s="36" t="inlineStr">
        <is>
          <t>A previous session committed the shared demo password beside a note saying never to commit it.</t>
        </is>
      </c>
      <c r="G16" s="36" t="inlineStr">
        <is>
          <t>17 occurrences redacted (Backend/tools/redact.py). Working tree verified clean across all file types.</t>
        </is>
      </c>
      <c r="H16" s="23" t="inlineStr">
        <is>
          <t>whole-tree sweep: 0 occurrences</t>
        </is>
      </c>
    </row>
    <row r="17" ht="44" customHeight="1">
      <c r="A17" s="34" t="inlineStr">
        <is>
          <t>QA-UX-002</t>
        </is>
      </c>
      <c r="B17" s="39" t="inlineStr">
        <is>
          <t>Low</t>
        </is>
      </c>
      <c r="C17" s="5" t="inlineStr">
        <is>
          <t>The route loader announced nothing to a screen reader</t>
        </is>
      </c>
      <c r="D17" s="15" t="inlineStr">
        <is>
          <t>Fixed in source</t>
        </is>
      </c>
      <c r="E17" s="36" t="inlineStr">
        <is>
          <t>LogoLoaderComponent.jsx</t>
        </is>
      </c>
      <c r="F17" s="36" t="inlineStr">
        <is>
          <t>The loading state was an image with alt text only, so it announced nothing about what was happening.</t>
        </is>
      </c>
      <c r="G17" s="36" t="inlineStr">
        <is>
          <t>role=status + aria-live=polite with visible text; the image is marked decorative. Existing CSS reused, no new design.</t>
        </is>
      </c>
      <c r="H17" s="23" t="inlineStr">
        <is>
          <t>eslint clean</t>
        </is>
      </c>
    </row>
    <row r="18" ht="60" customHeight="1">
      <c r="A18" s="34" t="inlineStr">
        <is>
          <t>QA-UX-003</t>
        </is>
      </c>
      <c r="B18" s="39" t="inlineStr">
        <is>
          <t>Low</t>
        </is>
      </c>
      <c r="C18" s="5" t="inlineStr">
        <is>
          <t>Four date constants were frozen at import time</t>
        </is>
      </c>
      <c r="D18" s="15" t="inlineStr">
        <is>
          <t>Fixed in source</t>
        </is>
      </c>
      <c r="E18" s="36" t="inlineStr">
        <is>
          <t>All 6 services configs/base_config.py</t>
        </is>
      </c>
      <c r="F18" s="36" t="inlineStr">
        <is>
          <t>CURRENTDATE and three siblings were class-body expressions, evaluated once when the module imported and then frozen - a service running past midnight reported yesterday until restarted.</t>
        </is>
      </c>
      <c r="G18" s="36" t="inlineStr">
        <is>
          <t>Removed, with a comment saying why there is deliberately no date constant there. Zero readers existed, so no behaviour changed.</t>
        </is>
      </c>
      <c r="H18" s="23" t="inlineStr">
        <is>
          <t>remove_frozen_dates.py --check; all 6 services</t>
        </is>
      </c>
    </row>
    <row r="19" ht="44" customHeight="1">
      <c r="A19" s="34" t="inlineStr">
        <is>
          <t>QA-DATA-001</t>
        </is>
      </c>
      <c r="B19" s="39" t="inlineStr">
        <is>
          <t>Low</t>
        </is>
      </c>
      <c r="C19" s="5" t="inlineStr">
        <is>
          <t>9 test-harness roles ship in the demo database</t>
        </is>
      </c>
      <c r="D19" s="10" t="inlineStr">
        <is>
          <t>Open</t>
        </is>
      </c>
      <c r="E19" s="36" t="inlineStr">
        <is>
          <t>Backend/db/12-Oct-2026/sql/hotelerp_users.sql</t>
        </is>
      </c>
      <c r="F19" s="36" t="inlineStr">
        <is>
          <t>A QA hardening pass ran its role CRUD tests against the demo database and committed the rows: `QB ZZQA&lt;random&gt; changed` x9.</t>
        </is>
      </c>
      <c r="G19" s="36" t="inlineStr">
        <is>
          <t>They hold zero permissions and are assigned to zero users, so they cannot grant access - but they are visible in Role Management.</t>
        </is>
      </c>
      <c r="H19" s="23" t="inlineStr">
        <is>
          <t>role_permissions rows: 5 demo roles only; users table: 10, all on roles 1-5</t>
        </is>
      </c>
    </row>
    <row r="20" ht="48" customHeight="1">
      <c r="A20" s="34" t="inlineStr">
        <is>
          <t>QA-UX-001</t>
        </is>
      </c>
      <c r="B20" s="39" t="inlineStr">
        <is>
          <t>Withdrawn</t>
        </is>
      </c>
      <c r="C20" s="5" t="inlineStr">
        <is>
          <t>Reported earlier, then withdrawn</t>
        </is>
      </c>
      <c r="D20" s="15" t="inlineStr">
        <is>
          <t>Closed</t>
        </is>
      </c>
      <c r="E20" s="36" t="inlineStr">
        <is>
          <t>QA measurement</t>
        </is>
      </c>
      <c r="F20" s="36" t="inlineStr">
        <is>
          <t>My own measurement error: innerText is empty for the image-only loader, so the 'empty loader' reading was an artefact of how it was measured.</t>
        </is>
      </c>
      <c r="G20" s="36" t="inlineStr">
        <is>
          <t>Withdrawn. No source change was made for it.</t>
        </is>
      </c>
      <c r="H20" s="23" t="inlineStr">
        <is>
          <t>n/a - never a defect</t>
        </is>
      </c>
    </row>
    <row r="22">
      <c r="A22" s="40" t="inlineStr">
        <is>
          <t>Critical</t>
        </is>
      </c>
      <c r="B22" s="41">
        <f>COUNTIF($B$5:$B$20,A22)</f>
        <v/>
      </c>
      <c r="C22" s="17">
        <f>IF(B22=0,"none","")</f>
        <v/>
      </c>
      <c r="D22" s="17" t="inlineStr"/>
      <c r="E22" s="17" t="inlineStr"/>
      <c r="F22" s="17" t="inlineStr"/>
      <c r="G22" s="17" t="inlineStr"/>
      <c r="H22" s="17" t="inlineStr"/>
    </row>
    <row r="23">
      <c r="A23" s="7" t="inlineStr">
        <is>
          <t>High</t>
        </is>
      </c>
      <c r="B23" s="25">
        <f>COUNTIF($B$5:$B$20,A23)</f>
        <v/>
      </c>
      <c r="C23" s="8">
        <f>IF(B23=0,"none","")</f>
        <v/>
      </c>
      <c r="D23" s="8" t="inlineStr"/>
      <c r="E23" s="8" t="inlineStr"/>
      <c r="F23" s="8" t="inlineStr"/>
      <c r="G23" s="8" t="inlineStr"/>
      <c r="H23" s="8" t="inlineStr"/>
    </row>
    <row r="24">
      <c r="A24" s="7" t="inlineStr">
        <is>
          <t>Medium</t>
        </is>
      </c>
      <c r="B24" s="25">
        <f>COUNTIF($B$5:$B$20,A24)</f>
        <v/>
      </c>
      <c r="C24" s="8">
        <f>IF(B24=0,"none","")</f>
        <v/>
      </c>
      <c r="D24" s="8" t="inlineStr"/>
      <c r="E24" s="8" t="inlineStr"/>
      <c r="F24" s="8" t="inlineStr"/>
      <c r="G24" s="8" t="inlineStr"/>
      <c r="H24" s="8" t="inlineStr"/>
    </row>
    <row r="25">
      <c r="A25" s="7" t="inlineStr">
        <is>
          <t>Low</t>
        </is>
      </c>
      <c r="B25" s="25">
        <f>COUNTIF($B$5:$B$20,A25)</f>
        <v/>
      </c>
      <c r="C25" s="8">
        <f>IF(B25=0,"none","")</f>
        <v/>
      </c>
      <c r="D25" s="8" t="inlineStr"/>
      <c r="E25" s="8" t="inlineStr"/>
      <c r="F25" s="8" t="inlineStr"/>
      <c r="G25" s="8" t="inlineStr"/>
      <c r="H25" s="8" t="inlineStr"/>
    </row>
    <row r="26">
      <c r="A26" s="7" t="inlineStr">
        <is>
          <t>Withdrawn</t>
        </is>
      </c>
      <c r="B26" s="25">
        <f>COUNTIF($B$5:$B$20,A26)</f>
        <v/>
      </c>
      <c r="C26" s="8">
        <f>IF(B26=0,"none","")</f>
        <v/>
      </c>
      <c r="D26" s="8" t="inlineStr"/>
      <c r="E26" s="8" t="inlineStr"/>
      <c r="F26" s="8" t="inlineStr"/>
      <c r="G26" s="8" t="inlineStr"/>
      <c r="H26" s="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44" customWidth="1" min="3" max="3"/>
    <col width="16" customWidth="1" min="4" max="4"/>
    <col width="15" customWidth="1" min="5" max="5"/>
    <col width="54" customWidth="1" min="6" max="6"/>
  </cols>
  <sheetData>
    <row r="1" ht="32" customHeight="1">
      <c r="A1" s="1" t="inlineStr">
        <is>
          <t>What is still open, and what it needs</t>
        </is>
      </c>
    </row>
    <row r="2" ht="20" customHeight="1">
      <c r="A2" s="2" t="inlineStr">
        <is>
          <t>'Blocks production' is the honest question: an item marked YES means the deployment is not production-ready without it.</t>
        </is>
      </c>
    </row>
    <row r="4" ht="30" customHeight="1">
      <c r="A4" s="6" t="inlineStr">
        <is>
          <t>#</t>
        </is>
      </c>
      <c r="B4" s="6" t="inlineStr">
        <is>
          <t>Item</t>
        </is>
      </c>
      <c r="C4" s="6" t="inlineStr">
        <is>
          <t>Why it is still open</t>
        </is>
      </c>
      <c r="D4" s="6" t="inlineStr">
        <is>
          <t>Owner</t>
        </is>
      </c>
      <c r="E4" s="6" t="inlineStr">
        <is>
          <t>Blocks production?</t>
        </is>
      </c>
      <c r="F4" s="6" t="inlineStr">
        <is>
          <t>Exact action</t>
        </is>
      </c>
    </row>
    <row r="5" ht="46" customHeight="1">
      <c r="A5" s="22" t="n">
        <v>1</v>
      </c>
      <c r="B5" s="42" t="inlineStr">
        <is>
          <t>QA-SEC-009  Fix the host clock (NTP)</t>
        </is>
      </c>
      <c r="C5" s="36" t="inlineStr">
        <is>
          <t>Host configuration, not code</t>
        </is>
      </c>
      <c r="D5" s="9" t="inlineStr">
        <is>
          <t>Infrastructure</t>
        </is>
      </c>
      <c r="E5" s="35" t="inlineStr">
        <is>
          <t>YES</t>
        </is>
      </c>
      <c r="F5" s="43" t="inlineStr">
        <is>
          <t>Enable NTP, then: python Backend/tools/preflight.py --host &lt;server&gt; - check 3b must pass</t>
        </is>
      </c>
    </row>
    <row r="6" ht="46" customHeight="1">
      <c r="A6" s="27" t="n">
        <v>2</v>
      </c>
      <c r="B6" s="44" t="inlineStr">
        <is>
          <t>QA-SEC-004  ASCEND_ENV=production + TLS</t>
        </is>
      </c>
      <c r="C6" s="45" t="inlineStr">
        <is>
          <t>Deployment configuration</t>
        </is>
      </c>
      <c r="D6" s="13" t="inlineStr">
        <is>
          <t>Infrastructure</t>
        </is>
      </c>
      <c r="E6" s="35" t="inlineStr">
        <is>
          <t>YES</t>
        </is>
      </c>
      <c r="F6" s="46" t="inlineStr">
        <is>
          <t>Set ASCEND_ENV=production in each service .env; terminate TLS in front of :9010</t>
        </is>
      </c>
    </row>
    <row r="7" ht="46" customHeight="1">
      <c r="A7" s="22" t="n">
        <v>3</v>
      </c>
      <c r="B7" s="42" t="inlineStr">
        <is>
          <t>QA-SEC-001b  Flip the service guard to enforce</t>
        </is>
      </c>
      <c r="C7" s="36" t="inlineStr">
        <is>
          <t>Ships in audit on purpose: a third control changing at once with two others is how a deploy day goes wrong</t>
        </is>
      </c>
      <c r="D7" s="9" t="inlineStr">
        <is>
          <t>Release owner</t>
        </is>
      </c>
      <c r="E7" s="47" t="inlineStr">
        <is>
          <t>No</t>
        </is>
      </c>
      <c r="F7" s="43" t="inlineStr">
        <is>
          <t>grep rbac_would_deny .run-logs/*.log | head -50, then set ROUTE_POLICY_MODE=enforce</t>
        </is>
      </c>
    </row>
    <row r="8" ht="46" customHeight="1">
      <c r="A8" s="27" t="n">
        <v>4</v>
      </c>
      <c r="B8" s="44" t="inlineStr">
        <is>
          <t>QA-SEC-008  Rotate the demo password</t>
        </is>
      </c>
      <c r="C8" s="45" t="inlineStr">
        <is>
          <t>Redaction removed the published copy; it does not un-publish the one already in every clone</t>
        </is>
      </c>
      <c r="D8" s="13" t="inlineStr">
        <is>
          <t>Release owner</t>
        </is>
      </c>
      <c r="E8" s="35" t="inlineStr">
        <is>
          <t>YES</t>
        </is>
      </c>
      <c r="F8" s="46" t="inlineStr">
        <is>
          <t>python Backend/tools/rotate_passwords.py --confirm --out &lt;file&gt;. preflight check 5 fails until this is done.</t>
        </is>
      </c>
    </row>
    <row r="9" ht="46" customHeight="1">
      <c r="A9" s="22" t="n">
        <v>5</v>
      </c>
      <c r="B9" s="42" t="inlineStr">
        <is>
          <t>QA-SEC-008  Purge the password from git history</t>
        </is>
      </c>
      <c r="C9" s="36" t="inlineStr">
        <is>
          <t>Needs a history rewrite and a force-push, which invalidates every clone</t>
        </is>
      </c>
      <c r="D9" s="9" t="inlineStr">
        <is>
          <t>Repo owner</t>
        </is>
      </c>
      <c r="E9" s="47" t="inlineStr">
        <is>
          <t>No</t>
        </is>
      </c>
      <c r="F9" s="43" t="inlineStr">
        <is>
          <t>git filter-repo --replace-text, then force-push and tell everyone</t>
        </is>
      </c>
    </row>
    <row r="10" ht="46" customHeight="1">
      <c r="A10" s="27" t="n">
        <v>6</v>
      </c>
      <c r="B10" s="44" t="inlineStr">
        <is>
          <t>QA-SEC-006  Housekeeping reservation grants</t>
        </is>
      </c>
      <c r="C10" s="45" t="inlineStr">
        <is>
          <t>A business decision: what Housekeeping actually needs is not derivable from the code</t>
        </is>
      </c>
      <c r="D10" s="13" t="inlineStr">
        <is>
          <t>Product owner</t>
        </is>
      </c>
      <c r="E10" s="47" t="inlineStr">
        <is>
          <t>No</t>
        </is>
      </c>
      <c r="F10" s="46" t="inlineStr">
        <is>
          <t>Decide, then amend role_permissions for role 4</t>
        </is>
      </c>
    </row>
    <row r="11" ht="46" customHeight="1">
      <c r="A11" s="22" t="n">
        <v>7</v>
      </c>
      <c r="B11" s="42" t="inlineStr">
        <is>
          <t>QA-DATA-001  Remove the 9 test roles</t>
        </is>
      </c>
      <c r="C11" s="36" t="inlineStr">
        <is>
          <t>Data hygiene in the committed dump</t>
        </is>
      </c>
      <c r="D11" s="9" t="inlineStr">
        <is>
          <t>Release owner</t>
        </is>
      </c>
      <c r="E11" s="47" t="inlineStr">
        <is>
          <t>No</t>
        </is>
      </c>
      <c r="F11" s="43" t="inlineStr">
        <is>
          <t>Delete roles 6-14 from hotelerp_users.sql and re-export</t>
        </is>
      </c>
    </row>
    <row r="12" ht="46" customHeight="1">
      <c r="A12" s="27" t="n">
        <v>8</v>
      </c>
      <c r="B12" s="44" t="inlineStr">
        <is>
          <t>npm run build  Cannot run on the QA machine</t>
        </is>
      </c>
      <c r="C12" s="45" t="inlineStr">
        <is>
          <t>@oxc-resolver's win32 binding fails ERR_DLOPEN_FAILED here. Environment, not code.</t>
        </is>
      </c>
      <c r="D12" s="13" t="inlineStr">
        <is>
          <t>Whoever deploys</t>
        </is>
      </c>
      <c r="E12" s="35" t="inlineStr">
        <is>
          <t>YES</t>
        </is>
      </c>
      <c r="F12" s="46" t="inlineStr">
        <is>
          <t>Run the build on the deploy host or CI, then serve with node Frontend/serve-spa.mjs</t>
        </is>
      </c>
    </row>
    <row r="13" ht="46" customHeight="1">
      <c r="A13" s="22" t="n">
        <v>9</v>
      </c>
      <c r="B13" s="42" t="inlineStr">
        <is>
          <t>Owner decision: should QA runbooks be in the repo?</t>
        </is>
      </c>
      <c r="C13" s="36" t="inlineStr">
        <is>
          <t>QA/live/ holds re-runnable harness scripts that invite someone to re-run them against a live host</t>
        </is>
      </c>
      <c r="D13" s="9" t="inlineStr">
        <is>
          <t>Repo owner</t>
        </is>
      </c>
      <c r="E13" s="47" t="inlineStr">
        <is>
          <t>No</t>
        </is>
      </c>
      <c r="F13" s="43" t="inlineStr">
        <is>
          <t>Decide: keep them in-repo, or move to a private location</t>
        </is>
      </c>
    </row>
    <row r="15">
      <c r="A15" s="17" t="inlineStr"/>
      <c r="B15" s="16" t="inlineStr">
        <is>
          <t>ITEMS BLOCKING PRODUCTION READINESS</t>
        </is>
      </c>
      <c r="C15" s="17" t="inlineStr"/>
      <c r="D15" s="17" t="inlineStr"/>
      <c r="E15" s="48">
        <f>COUNTIF(E5:E13,"YES")</f>
        <v/>
      </c>
      <c r="F15" s="17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52" customWidth="1" min="3" max="3"/>
    <col width="54" customWidth="1" min="4" max="4"/>
    <col width="16" customWidth="1" min="5" max="5"/>
  </cols>
  <sheetData>
    <row r="1" ht="32" customHeight="1">
      <c r="A1" s="1" t="inlineStr">
        <is>
          <t>Go-live sequence - in order, with the check at each step</t>
        </is>
      </c>
    </row>
    <row r="2" ht="20" customHeight="1">
      <c r="A2" s="2" t="inlineStr">
        <is>
          <t>Steps 1-7 are deployment work. Step 8 is the gate: if preflight fails, stop. Step 11 is what turns this audit's unit-test proof into live proof.</t>
        </is>
      </c>
    </row>
    <row r="4" ht="30" customHeight="1">
      <c r="A4" s="6" t="inlineStr">
        <is>
          <t>Step</t>
        </is>
      </c>
      <c r="B4" s="6" t="inlineStr">
        <is>
          <t>Action</t>
        </is>
      </c>
      <c r="C4" s="6" t="inlineStr">
        <is>
          <t>Why it is in this order</t>
        </is>
      </c>
      <c r="D4" s="6" t="inlineStr">
        <is>
          <t>Command / check</t>
        </is>
      </c>
      <c r="E4" s="6" t="inlineStr">
        <is>
          <t>Owner</t>
        </is>
      </c>
    </row>
    <row r="5" ht="42" customHeight="1">
      <c r="A5" s="49" t="n">
        <v>1</v>
      </c>
      <c r="B5" s="42" t="inlineStr">
        <is>
          <t>Commit and deploy HEAD</t>
        </is>
      </c>
      <c r="C5" s="36" t="inlineStr">
        <is>
          <t>36 modified files, 14 new. Nothing is committed yet.</t>
        </is>
      </c>
      <c r="D5" s="43" t="inlineStr">
        <is>
          <t>git add -A &amp;&amp; git commit -m 'QA fixes' &amp;&amp; deploy</t>
        </is>
      </c>
      <c r="E5" s="24" t="inlineStr">
        <is>
          <t>Deploy owner</t>
        </is>
      </c>
    </row>
    <row r="6" ht="42" customHeight="1">
      <c r="A6" s="50" t="n">
        <v>2</v>
      </c>
      <c r="B6" s="44" t="inlineStr">
        <is>
          <t>Bind the services to loopback</t>
        </is>
      </c>
      <c r="C6" s="45" t="inlineStr">
        <is>
          <t>The launcher already does this; make sure nothing else is what started them.</t>
        </is>
      </c>
      <c r="D6" s="46" t="inlineStr">
        <is>
          <t>start-network.ps1, or run.sh. ALLOW_PUBLIC_BIND must NOT be set.</t>
        </is>
      </c>
      <c r="E6" s="29" t="inlineStr">
        <is>
          <t>Deploy owner</t>
        </is>
      </c>
    </row>
    <row r="7" ht="42" customHeight="1">
      <c r="A7" s="49" t="n">
        <v>3</v>
      </c>
      <c r="B7" s="42" t="inlineStr">
        <is>
          <t>Fix the host clock first</t>
        </is>
      </c>
      <c r="C7" s="36" t="inlineStr">
        <is>
          <t>A 13.4h skew makes every timestamp wrong and every session look expired.</t>
        </is>
      </c>
      <c r="D7" s="43" t="inlineStr">
        <is>
          <t>Enable NTP, then confirm with preflight check 3b</t>
        </is>
      </c>
      <c r="E7" s="24" t="inlineStr">
        <is>
          <t>Infrastructure</t>
        </is>
      </c>
    </row>
    <row r="8" ht="42" customHeight="1">
      <c r="A8" s="50" t="n">
        <v>4</v>
      </c>
      <c r="B8" s="44" t="inlineStr">
        <is>
          <t>Set ASCEND_ENV=production in every service .env</t>
        </is>
      </c>
      <c r="C8" s="45" t="inlineStr">
        <is>
          <t>Turns off /docs, /redoc and /openapi.json.</t>
        </is>
      </c>
      <c r="D8" s="46" t="inlineStr">
        <is>
          <t>verify_prod_env.py will refuse to start otherwise</t>
        </is>
      </c>
      <c r="E8" s="29" t="inlineStr">
        <is>
          <t>Deploy owner</t>
        </is>
      </c>
    </row>
    <row r="9" ht="42" customHeight="1">
      <c r="A9" s="49" t="n">
        <v>5</v>
      </c>
      <c r="B9" s="42" t="inlineStr">
        <is>
          <t>Rotate the demo password</t>
        </is>
      </c>
      <c r="C9" s="36" t="inlineStr">
        <is>
          <t>It is in git history and in every clone.</t>
        </is>
      </c>
      <c r="D9" s="43" t="inlineStr">
        <is>
          <t>rotate_passwords.py --confirm --out &lt;file&gt;</t>
        </is>
      </c>
      <c r="E9" s="24" t="inlineStr">
        <is>
          <t>Release owner</t>
        </is>
      </c>
    </row>
    <row r="10" ht="42" customHeight="1">
      <c r="A10" s="50" t="n">
        <v>6</v>
      </c>
      <c r="B10" s="44" t="inlineStr">
        <is>
          <t>Build the frontend</t>
        </is>
      </c>
      <c r="C10" s="45" t="inlineStr">
        <is>
          <t>Could not be built on the QA machine.</t>
        </is>
      </c>
      <c r="D10" s="46" t="inlineStr">
        <is>
          <t>npm run build, then serve dist with node Frontend/serve-spa.mjs</t>
        </is>
      </c>
      <c r="E10" s="29" t="inlineStr">
        <is>
          <t>Deploy owner</t>
        </is>
      </c>
    </row>
    <row r="11" ht="42" customHeight="1">
      <c r="A11" s="49" t="n">
        <v>7</v>
      </c>
      <c r="B11" s="42" t="inlineStr">
        <is>
          <t>Terminate TLS in front of the gateway</t>
        </is>
      </c>
      <c r="C11" s="36" t="inlineStr">
        <is>
          <t>Credentials and session tokens currently cross the wire in clear.</t>
        </is>
      </c>
      <c r="D11" s="43" t="inlineStr">
        <is>
          <t>Reverse proxy on :443 -&gt; :9010</t>
        </is>
      </c>
      <c r="E11" s="24" t="inlineStr">
        <is>
          <t>Infrastructure</t>
        </is>
      </c>
    </row>
    <row r="12" ht="42" customHeight="1">
      <c r="A12" s="50" t="n">
        <v>8</v>
      </c>
      <c r="B12" s="51" t="inlineStr">
        <is>
          <t>Run preflight against the new deployment</t>
        </is>
      </c>
      <c r="C12" s="52" t="inlineStr">
        <is>
          <t>The gate. Six checks, and it now also checks token lifetime.</t>
        </is>
      </c>
      <c r="D12" s="53" t="inlineStr">
        <is>
          <t>python Backend/tools/preflight.py --host &lt;server&gt;</t>
        </is>
      </c>
      <c r="E12" s="54" t="inlineStr">
        <is>
          <t>Deploy owner</t>
        </is>
      </c>
    </row>
    <row r="13" ht="42" customHeight="1">
      <c r="A13" s="49" t="n">
        <v>9</v>
      </c>
      <c r="B13" s="51" t="inlineStr">
        <is>
          <t>Read the service guard's audit log</t>
        </is>
      </c>
      <c r="C13" s="52" t="inlineStr">
        <is>
          <t>This is what turns the audit log from theory into evidence for THIS data.</t>
        </is>
      </c>
      <c r="D13" s="53" t="inlineStr">
        <is>
          <t>grep rbac_would_deny .run-logs/*.log | head -50</t>
        </is>
      </c>
      <c r="E13" s="54" t="inlineStr">
        <is>
          <t>Release owner</t>
        </is>
      </c>
    </row>
    <row r="14" ht="42" customHeight="1">
      <c r="A14" s="50" t="n">
        <v>10</v>
      </c>
      <c r="B14" s="44" t="inlineStr">
        <is>
          <t>Flip ROUTE_POLICY_MODE=enforce and restart</t>
        </is>
      </c>
      <c r="C14" s="45" t="inlineStr">
        <is>
          <t>Only safe once step 9 is clean.</t>
        </is>
      </c>
      <c r="D14" s="46" t="inlineStr">
        <is>
          <t>ROUTE_POLICY_MODE=enforce in each service .env</t>
        </is>
      </c>
      <c r="E14" s="29" t="inlineStr">
        <is>
          <t>Release owner</t>
        </is>
      </c>
    </row>
    <row r="15" ht="42" customHeight="1">
      <c r="A15" s="49" t="n">
        <v>11</v>
      </c>
      <c r="B15" s="42" t="inlineStr">
        <is>
          <t>Re-run the QA sweep against the new deployment</t>
        </is>
      </c>
      <c r="C15" s="36" t="inlineStr">
        <is>
          <t>The fixes are verified by unit tests and map regeneration; only a live request proves them end to end.</t>
        </is>
      </c>
      <c r="D15" s="43" t="inlineStr">
        <is>
          <t>QA/live/sweep_api.py, privesc_matrix.py, workflow_checks.py</t>
        </is>
      </c>
      <c r="E15" s="24" t="inlineStr">
        <is>
          <t>QA</t>
        </is>
      </c>
    </row>
    <row r="16" ht="42" customHeight="1">
      <c r="A16" s="50" t="n">
        <v>12</v>
      </c>
      <c r="B16" s="44" t="inlineStr">
        <is>
          <t>Sign off</t>
        </is>
      </c>
      <c r="C16" s="45" t="inlineStr">
        <is>
          <t>Everything above green.</t>
        </is>
      </c>
      <c r="D16" s="46" t="inlineStr">
        <is>
          <t>Update the Module Status tab in this workbook</t>
        </is>
      </c>
      <c r="E16" s="29" t="inlineStr">
        <is>
          <t>Release owner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9" customWidth="1" min="3" max="3"/>
    <col width="11" customWidth="1" min="4" max="4"/>
    <col width="60" customWidth="1" min="5" max="5"/>
    <col width="11" customWidth="1" min="6" max="6"/>
  </cols>
  <sheetData>
    <row r="1" ht="32" customHeight="1">
      <c r="A1" s="1" t="inlineStr">
        <is>
          <t>Regression evidence - every suite, straight from the run</t>
        </is>
      </c>
    </row>
    <row r="2" ht="20" customHeight="1">
      <c r="A2" s="2" t="inlineStr">
        <is>
          <t>Read from QA/live/regression_run.json, which is parsed from the output of python Backend/tests/run_all.py. A pytest suite and a script suite count differently, so they are shown separately.</t>
        </is>
      </c>
    </row>
    <row r="4" ht="30" customHeight="1">
      <c r="A4" s="6" t="inlineStr">
        <is>
          <t>Suite</t>
        </is>
      </c>
      <c r="B4" s="6" t="inlineStr">
        <is>
          <t>Runs from</t>
        </is>
      </c>
      <c r="C4" s="6" t="inlineStr">
        <is>
          <t>Kind</t>
        </is>
      </c>
      <c r="D4" s="6" t="inlineStr">
        <is>
          <t>Checks</t>
        </is>
      </c>
      <c r="E4" s="6" t="inlineStr">
        <is>
          <t>What it protects</t>
        </is>
      </c>
      <c r="F4" s="6" t="inlineStr">
        <is>
          <t>Result</t>
        </is>
      </c>
    </row>
    <row r="5" ht="26" customHeight="1">
      <c r="A5" s="7" t="inlineStr">
        <is>
          <t>test_rbac.py</t>
        </is>
      </c>
      <c r="B5" s="55" t="inlineStr">
        <is>
          <t>UserServices</t>
        </is>
      </c>
      <c r="C5" s="24" t="inlineStr">
        <is>
          <t>pytest</t>
        </is>
      </c>
      <c r="D5" s="9" t="n">
        <v>19</v>
      </c>
      <c r="E5" s="36" t="inlineStr">
        <is>
          <t>Permission decisions inside the user service</t>
        </is>
      </c>
      <c r="F5" s="56" t="inlineStr">
        <is>
          <t>Pass</t>
        </is>
      </c>
    </row>
    <row r="6" ht="26" customHeight="1">
      <c r="A6" s="11" t="inlineStr">
        <is>
          <t>test_rbac_gateway.py</t>
        </is>
      </c>
      <c r="B6" s="57" t="inlineStr">
        <is>
          <t>LoginServices</t>
        </is>
      </c>
      <c r="C6" s="29" t="inlineStr">
        <is>
          <t>pytest</t>
        </is>
      </c>
      <c r="D6" s="13" t="n">
        <v>71</v>
      </c>
      <c r="E6" s="45" t="inlineStr">
        <is>
          <t>The gateway's 279-row permission map</t>
        </is>
      </c>
      <c r="F6" s="56" t="inlineStr">
        <is>
          <t>Pass</t>
        </is>
      </c>
    </row>
    <row r="7" ht="26" customHeight="1">
      <c r="A7" s="7" t="inlineStr">
        <is>
          <t>test_route_policy.py</t>
        </is>
      </c>
      <c r="B7" s="55" t="inlineStr">
        <is>
          <t>LoginServices</t>
        </is>
      </c>
      <c r="C7" s="24" t="inlineStr">
        <is>
          <t>pytest</t>
        </is>
      </c>
      <c r="D7" s="9" t="n">
        <v>18</v>
      </c>
      <c r="E7" s="36" t="inlineStr">
        <is>
          <t>Service guard agrees with the gateway, all 279 routes</t>
        </is>
      </c>
      <c r="F7" s="56" t="inlineStr">
        <is>
          <t>Pass</t>
        </is>
      </c>
    </row>
    <row r="8" ht="26" customHeight="1">
      <c r="A8" s="11" t="inlineStr">
        <is>
          <t>test_night_audit.py</t>
        </is>
      </c>
      <c r="B8" s="57" t="inlineStr">
        <is>
          <t>HotelServices</t>
        </is>
      </c>
      <c r="C8" s="29" t="inlineStr">
        <is>
          <t>pytest</t>
        </is>
      </c>
      <c r="D8" s="13" t="n">
        <v>50</v>
      </c>
      <c r="E8" s="45" t="inlineStr">
        <is>
          <t>Business date, postings, reconciliation</t>
        </is>
      </c>
      <c r="F8" s="56" t="inlineStr">
        <is>
          <t>Pass</t>
        </is>
      </c>
    </row>
    <row r="9" ht="26" customHeight="1">
      <c r="A9" s="7" t="inlineStr">
        <is>
          <t>test_reservation_rules.py</t>
        </is>
      </c>
      <c r="B9" s="55" t="inlineStr">
        <is>
          <t>HotelServices</t>
        </is>
      </c>
      <c r="C9" s="24" t="inlineStr">
        <is>
          <t>pytest</t>
        </is>
      </c>
      <c r="D9" s="9" t="n">
        <v>111</v>
      </c>
      <c r="E9" s="36" t="inlineStr">
        <is>
          <t>Cancellation, pricing, sellability, folio rules</t>
        </is>
      </c>
      <c r="F9" s="56" t="inlineStr">
        <is>
          <t>Pass</t>
        </is>
      </c>
    </row>
    <row r="10" ht="26" customHeight="1">
      <c r="A10" s="11" t="inlineStr">
        <is>
          <t>test_reservation_pricing.py</t>
        </is>
      </c>
      <c r="B10" s="57" t="inlineStr">
        <is>
          <t>HotelServices</t>
        </is>
      </c>
      <c r="C10" s="29" t="inlineStr">
        <is>
          <t>pytest</t>
        </is>
      </c>
      <c r="D10" s="13" t="n">
        <v>10</v>
      </c>
      <c r="E10" s="45" t="inlineStr">
        <is>
          <t>Folio arithmetic over the real HTTP client</t>
        </is>
      </c>
      <c r="F10" s="56" t="inlineStr">
        <is>
          <t>Pass</t>
        </is>
      </c>
    </row>
    <row r="11" ht="26" customHeight="1">
      <c r="A11" s="7" t="inlineStr">
        <is>
          <t>test_booking_validation.py</t>
        </is>
      </c>
      <c r="B11" s="55" t="inlineStr">
        <is>
          <t>HotelServices</t>
        </is>
      </c>
      <c r="C11" s="24" t="inlineStr">
        <is>
          <t>pytest</t>
        </is>
      </c>
      <c r="D11" s="9" t="n">
        <v>24</v>
      </c>
      <c r="E11" s="36" t="inlineStr">
        <is>
          <t>Dates, numeric bounds, room-type scope</t>
        </is>
      </c>
      <c r="F11" s="56" t="inlineStr">
        <is>
          <t>Pass</t>
        </is>
      </c>
    </row>
    <row r="12" ht="26" customHeight="1">
      <c r="A12" s="11" t="inlineStr">
        <is>
          <t>test_reservation_housekeeping.py</t>
        </is>
      </c>
      <c r="B12" s="57" t="inlineStr">
        <is>
          <t>HotelServices</t>
        </is>
      </c>
      <c r="C12" s="29" t="inlineStr">
        <is>
          <t>pytest</t>
        </is>
      </c>
      <c r="D12" s="13" t="n">
        <v>23</v>
      </c>
      <c r="E12" s="45" t="inlineStr">
        <is>
          <t>Checkout -&gt; housekeeping handover on the wire</t>
        </is>
      </c>
      <c r="F12" s="56" t="inlineStr">
        <is>
          <t>Pass</t>
        </is>
      </c>
    </row>
    <row r="13" ht="26" customHeight="1">
      <c r="A13" s="7" t="inlineStr">
        <is>
          <t>test_preflight_images.py</t>
        </is>
      </c>
      <c r="B13" s="55" t="inlineStr">
        <is>
          <t>LoginServices</t>
        </is>
      </c>
      <c r="C13" s="24" t="inlineStr">
        <is>
          <t>pytest</t>
        </is>
      </c>
      <c r="D13" s="9" t="n">
        <v>7</v>
      </c>
      <c r="E13" s="36" t="inlineStr">
        <is>
          <t>Preflight check 6: are the images really on disk</t>
        </is>
      </c>
      <c r="F13" s="56" t="inlineStr">
        <is>
          <t>Pass</t>
        </is>
      </c>
    </row>
    <row r="14" ht="26" customHeight="1">
      <c r="A14" s="11" t="inlineStr">
        <is>
          <t>test_seed_night_audit.py</t>
        </is>
      </c>
      <c r="B14" s="57" t="inlineStr">
        <is>
          <t>LoginServices</t>
        </is>
      </c>
      <c r="C14" s="29" t="inlineStr">
        <is>
          <t>pytest</t>
        </is>
      </c>
      <c r="D14" s="13" t="n">
        <v>10</v>
      </c>
      <c r="E14" s="45" t="inlineStr">
        <is>
          <t>Seeded audit rows reconcile with seeded bookings</t>
        </is>
      </c>
      <c r="F14" s="56" t="inlineStr">
        <is>
          <t>Pass</t>
        </is>
      </c>
    </row>
    <row r="15" ht="26" customHeight="1">
      <c r="A15" s="7" t="inlineStr">
        <is>
          <t>test_master_client.py</t>
        </is>
      </c>
      <c r="B15" s="55" t="inlineStr">
        <is>
          <t>HotelServices</t>
        </is>
      </c>
      <c r="C15" s="24" t="inlineStr">
        <is>
          <t>pytest</t>
        </is>
      </c>
      <c r="D15" s="9" t="n">
        <v>45</v>
      </c>
      <c r="E15" s="36" t="inlineStr">
        <is>
          <t>The service-to-service HTTP client and its failure modes</t>
        </is>
      </c>
      <c r="F15" s="56" t="inlineStr">
        <is>
          <t>Pass</t>
        </is>
      </c>
    </row>
    <row r="16" ht="26" customHeight="1">
      <c r="A16" s="11" t="inlineStr">
        <is>
          <t>test_snapshot_contract.py</t>
        </is>
      </c>
      <c r="B16" s="57" t="inlineStr">
        <is>
          <t>MasterDataServices</t>
        </is>
      </c>
      <c r="C16" s="29" t="inlineStr">
        <is>
          <t>pytest</t>
        </is>
      </c>
      <c r="D16" s="13" t="n">
        <v>12</v>
      </c>
      <c r="E16" s="45" t="inlineStr">
        <is>
          <t>/snapshot contract, asserted from both ends</t>
        </is>
      </c>
      <c r="F16" s="56" t="inlineStr">
        <is>
          <t>Pass</t>
        </is>
      </c>
    </row>
    <row r="17" ht="26" customHeight="1">
      <c r="A17" s="7" t="inlineStr">
        <is>
          <t>test_bill_payment.py</t>
        </is>
      </c>
      <c r="B17" s="55" t="inlineStr">
        <is>
          <t>BarServices</t>
        </is>
      </c>
      <c r="C17" s="24" t="inlineStr">
        <is>
          <t>pytest</t>
        </is>
      </c>
      <c r="D17" s="9" t="n">
        <v>11</v>
      </c>
      <c r="E17" s="36" t="inlineStr">
        <is>
          <t>Bills and payments reconcile</t>
        </is>
      </c>
      <c r="F17" s="56" t="inlineStr">
        <is>
          <t>Pass</t>
        </is>
      </c>
    </row>
    <row r="18" ht="26" customHeight="1">
      <c r="A18" s="11" t="inlineStr">
        <is>
          <t>test_bill_payment.py</t>
        </is>
      </c>
      <c r="B18" s="57" t="inlineStr">
        <is>
          <t>RestaurantServices</t>
        </is>
      </c>
      <c r="C18" s="29" t="inlineStr">
        <is>
          <t>pytest</t>
        </is>
      </c>
      <c r="D18" s="13" t="n">
        <v>11</v>
      </c>
      <c r="E18" s="45" t="inlineStr">
        <is>
          <t>Bills and payments reconcile</t>
        </is>
      </c>
      <c r="F18" s="56" t="inlineStr">
        <is>
          <t>Pass</t>
        </is>
      </c>
    </row>
    <row r="19" ht="26" customHeight="1">
      <c r="A19" s="7" t="inlineStr">
        <is>
          <t>test_upload_content.py</t>
        </is>
      </c>
      <c r="B19" s="55" t="inlineStr">
        <is>
          <t>MasterDataServices</t>
        </is>
      </c>
      <c r="C19" s="24" t="inlineStr">
        <is>
          <t>pytest</t>
        </is>
      </c>
      <c r="D19" s="9" t="n">
        <v>65</v>
      </c>
      <c r="E19" s="36" t="inlineStr">
        <is>
          <t>Uploads are validated, not just stored</t>
        </is>
      </c>
      <c r="F19" s="56" t="inlineStr">
        <is>
          <t>Pass</t>
        </is>
      </c>
    </row>
    <row r="20" ht="26" customHeight="1">
      <c r="A20" s="11" t="inlineStr">
        <is>
          <t>test_upload_content.py</t>
        </is>
      </c>
      <c r="B20" s="57" t="inlineStr">
        <is>
          <t>RestaurantServices</t>
        </is>
      </c>
      <c r="C20" s="29" t="inlineStr">
        <is>
          <t>pytest</t>
        </is>
      </c>
      <c r="D20" s="13" t="n">
        <v>65</v>
      </c>
      <c r="E20" s="45" t="inlineStr">
        <is>
          <t>Uploads are validated, not just stored</t>
        </is>
      </c>
      <c r="F20" s="56" t="inlineStr">
        <is>
          <t>Pass</t>
        </is>
      </c>
    </row>
    <row r="21" ht="26" customHeight="1">
      <c r="A21" s="7" t="inlineStr">
        <is>
          <t>test_upload_content.py</t>
        </is>
      </c>
      <c r="B21" s="55" t="inlineStr">
        <is>
          <t>BarServices</t>
        </is>
      </c>
      <c r="C21" s="24" t="inlineStr">
        <is>
          <t>pytest</t>
        </is>
      </c>
      <c r="D21" s="9" t="n">
        <v>65</v>
      </c>
      <c r="E21" s="36" t="inlineStr">
        <is>
          <t>Uploads are validated, not just stored</t>
        </is>
      </c>
      <c r="F21" s="56" t="inlineStr">
        <is>
          <t>Pass</t>
        </is>
      </c>
    </row>
    <row r="22" ht="26" customHeight="1">
      <c r="A22" s="11" t="inlineStr">
        <is>
          <t>test_upload_content.py</t>
        </is>
      </c>
      <c r="B22" s="57" t="inlineStr">
        <is>
          <t>HotelServices</t>
        </is>
      </c>
      <c r="C22" s="29" t="inlineStr">
        <is>
          <t>pytest</t>
        </is>
      </c>
      <c r="D22" s="13" t="n">
        <v>78</v>
      </c>
      <c r="E22" s="45" t="inlineStr">
        <is>
          <t>Uploads are validated, not just stored</t>
        </is>
      </c>
      <c r="F22" s="56" t="inlineStr">
        <is>
          <t>Pass</t>
        </is>
      </c>
    </row>
    <row r="23" ht="26" customHeight="1">
      <c r="A23" s="7" t="inlineStr">
        <is>
          <t>test_user_photo_upload.py</t>
        </is>
      </c>
      <c r="B23" s="55" t="inlineStr">
        <is>
          <t>UserServices</t>
        </is>
      </c>
      <c r="C23" s="24" t="inlineStr">
        <is>
          <t>pytest</t>
        </is>
      </c>
      <c r="D23" s="9" t="n">
        <v>15</v>
      </c>
      <c r="E23" s="36" t="inlineStr">
        <is>
          <t>Employee photo upload</t>
        </is>
      </c>
      <c r="F23" s="56" t="inlineStr">
        <is>
          <t>Pass</t>
        </is>
      </c>
    </row>
    <row r="24" ht="26" customHeight="1">
      <c r="A24" s="11" t="inlineStr">
        <is>
          <t>test_phone_validation.py</t>
        </is>
      </c>
      <c r="B24" s="57" t="inlineStr">
        <is>
          <t>BarServices</t>
        </is>
      </c>
      <c r="C24" s="29" t="inlineStr">
        <is>
          <t>pytest</t>
        </is>
      </c>
      <c r="D24" s="13" t="n">
        <v>120</v>
      </c>
      <c r="E24" s="45" t="inlineStr">
        <is>
          <t>Phone normalisation is identical in every service</t>
        </is>
      </c>
      <c r="F24" s="56" t="inlineStr">
        <is>
          <t>Pass</t>
        </is>
      </c>
    </row>
    <row r="25" ht="26" customHeight="1">
      <c r="A25" s="7" t="inlineStr">
        <is>
          <t>test_phone_validation.py</t>
        </is>
      </c>
      <c r="B25" s="55" t="inlineStr">
        <is>
          <t>RestaurantServices</t>
        </is>
      </c>
      <c r="C25" s="24" t="inlineStr">
        <is>
          <t>pytest</t>
        </is>
      </c>
      <c r="D25" s="9" t="n">
        <v>120</v>
      </c>
      <c r="E25" s="36" t="inlineStr">
        <is>
          <t>Phone normalisation is identical in every service</t>
        </is>
      </c>
      <c r="F25" s="56" t="inlineStr">
        <is>
          <t>Pass</t>
        </is>
      </c>
    </row>
    <row r="26" ht="26" customHeight="1">
      <c r="A26" s="11" t="inlineStr">
        <is>
          <t>test_phone_validation.py</t>
        </is>
      </c>
      <c r="B26" s="57" t="inlineStr">
        <is>
          <t>UserServices</t>
        </is>
      </c>
      <c r="C26" s="29" t="inlineStr">
        <is>
          <t>pytest</t>
        </is>
      </c>
      <c r="D26" s="13" t="n">
        <v>120</v>
      </c>
      <c r="E26" s="45" t="inlineStr">
        <is>
          <t>Phone normalisation is identical in every service</t>
        </is>
      </c>
      <c r="F26" s="56" t="inlineStr">
        <is>
          <t>Pass</t>
        </is>
      </c>
    </row>
    <row r="27" ht="26" customHeight="1">
      <c r="A27" s="7" t="inlineStr">
        <is>
          <t>test_phone_validation.py</t>
        </is>
      </c>
      <c r="B27" s="55" t="inlineStr">
        <is>
          <t>HotelServices</t>
        </is>
      </c>
      <c r="C27" s="24" t="inlineStr">
        <is>
          <t>pytest</t>
        </is>
      </c>
      <c r="D27" s="9" t="n">
        <v>120</v>
      </c>
      <c r="E27" s="36" t="inlineStr">
        <is>
          <t>Phone normalisation is identical in every service</t>
        </is>
      </c>
      <c r="F27" s="56" t="inlineStr">
        <is>
          <t>Pass</t>
        </is>
      </c>
    </row>
    <row r="28" ht="26" customHeight="1">
      <c r="A28" s="11" t="inlineStr">
        <is>
          <t>test_phone_pattern_guard.py</t>
        </is>
      </c>
      <c r="B28" s="57" t="inlineStr">
        <is>
          <t>HotelServices</t>
        </is>
      </c>
      <c r="C28" s="29" t="inlineStr">
        <is>
          <t>pytest</t>
        </is>
      </c>
      <c r="D28" s="13" t="n">
        <v>2</v>
      </c>
      <c r="E28" s="45" t="inlineStr">
        <is>
          <t>The QA sweep's pattern can still detect a planted number</t>
        </is>
      </c>
      <c r="F28" s="56" t="inlineStr">
        <is>
          <t>Pass</t>
        </is>
      </c>
    </row>
    <row r="29" ht="26" customHeight="1">
      <c r="A29" s="7" t="inlineStr">
        <is>
          <t>test_combo_rules.py</t>
        </is>
      </c>
      <c r="B29" s="55" t="inlineStr">
        <is>
          <t>RestaurantServices</t>
        </is>
      </c>
      <c r="C29" s="24" t="inlineStr">
        <is>
          <t>pytest</t>
        </is>
      </c>
      <c r="D29" s="9" t="n">
        <v>4</v>
      </c>
      <c r="E29" s="36" t="inlineStr">
        <is>
          <t>Combo pricing</t>
        </is>
      </c>
      <c r="F29" s="56" t="inlineStr">
        <is>
          <t>Pass</t>
        </is>
      </c>
    </row>
    <row r="30" ht="26" customHeight="1">
      <c r="A30" s="11" t="inlineStr">
        <is>
          <t>test_fnb_hardening.py</t>
        </is>
      </c>
      <c r="B30" s="57" t="inlineStr">
        <is>
          <t>BarServices</t>
        </is>
      </c>
      <c r="C30" s="29" t="inlineStr">
        <is>
          <t>pytest</t>
        </is>
      </c>
      <c r="D30" s="13" t="n">
        <v>6</v>
      </c>
      <c r="E30" s="45" t="inlineStr">
        <is>
          <t>F&amp;B edge cases and hardening</t>
        </is>
      </c>
      <c r="F30" s="56" t="inlineStr">
        <is>
          <t>Pass</t>
        </is>
      </c>
    </row>
    <row r="31" ht="26" customHeight="1">
      <c r="A31" s="7" t="inlineStr">
        <is>
          <t>test_fnb_hardening.py</t>
        </is>
      </c>
      <c r="B31" s="55" t="inlineStr">
        <is>
          <t>RestaurantServices</t>
        </is>
      </c>
      <c r="C31" s="24" t="inlineStr">
        <is>
          <t>pytest</t>
        </is>
      </c>
      <c r="D31" s="9" t="n">
        <v>6</v>
      </c>
      <c r="E31" s="36" t="inlineStr">
        <is>
          <t>F&amp;B edge cases and hardening</t>
        </is>
      </c>
      <c r="F31" s="56" t="inlineStr">
        <is>
          <t>Pass</t>
        </is>
      </c>
    </row>
    <row r="32" ht="26" customHeight="1">
      <c r="A32" s="11" t="inlineStr">
        <is>
          <t>test_jwt_auth.py</t>
        </is>
      </c>
      <c r="B32" s="57" t="inlineStr">
        <is>
          <t>LoginServices</t>
        </is>
      </c>
      <c r="C32" s="29" t="inlineStr">
        <is>
          <t>pytest</t>
        </is>
      </c>
      <c r="D32" s="13" t="n">
        <v>10</v>
      </c>
      <c r="E32" s="45" t="inlineStr">
        <is>
          <t>Signature, expiry, missing claims, tamper</t>
        </is>
      </c>
      <c r="F32" s="56" t="inlineStr">
        <is>
          <t>Pass</t>
        </is>
      </c>
    </row>
    <row r="33" ht="26" customHeight="1">
      <c r="A33" s="7" t="inlineStr">
        <is>
          <t>test_jwt_auth.py</t>
        </is>
      </c>
      <c r="B33" s="55" t="inlineStr">
        <is>
          <t>UserServices</t>
        </is>
      </c>
      <c r="C33" s="24" t="inlineStr">
        <is>
          <t>pytest</t>
        </is>
      </c>
      <c r="D33" s="9" t="n">
        <v>10</v>
      </c>
      <c r="E33" s="36" t="inlineStr">
        <is>
          <t>Signature, expiry, missing claims, tamper</t>
        </is>
      </c>
      <c r="F33" s="56" t="inlineStr">
        <is>
          <t>Pass</t>
        </is>
      </c>
    </row>
    <row r="34" ht="26" customHeight="1">
      <c r="A34" s="11" t="inlineStr">
        <is>
          <t>test_jwt_auth.py</t>
        </is>
      </c>
      <c r="B34" s="57" t="inlineStr">
        <is>
          <t>MasterDataServices</t>
        </is>
      </c>
      <c r="C34" s="29" t="inlineStr">
        <is>
          <t>pytest</t>
        </is>
      </c>
      <c r="D34" s="13" t="n">
        <v>10</v>
      </c>
      <c r="E34" s="45" t="inlineStr">
        <is>
          <t>Signature, expiry, missing claims, tamper</t>
        </is>
      </c>
      <c r="F34" s="56" t="inlineStr">
        <is>
          <t>Pass</t>
        </is>
      </c>
    </row>
    <row r="35" ht="26" customHeight="1">
      <c r="A35" s="7" t="inlineStr">
        <is>
          <t>test_jwt_auth.py</t>
        </is>
      </c>
      <c r="B35" s="55" t="inlineStr">
        <is>
          <t>HotelServices</t>
        </is>
      </c>
      <c r="C35" s="24" t="inlineStr">
        <is>
          <t>pytest</t>
        </is>
      </c>
      <c r="D35" s="9" t="n">
        <v>10</v>
      </c>
      <c r="E35" s="36" t="inlineStr">
        <is>
          <t>Signature, expiry, missing claims, tamper</t>
        </is>
      </c>
      <c r="F35" s="56" t="inlineStr">
        <is>
          <t>Pass</t>
        </is>
      </c>
    </row>
    <row r="36" ht="26" customHeight="1">
      <c r="A36" s="11" t="inlineStr">
        <is>
          <t>test_jwt_auth.py</t>
        </is>
      </c>
      <c r="B36" s="57" t="inlineStr">
        <is>
          <t>RestaurantServices</t>
        </is>
      </c>
      <c r="C36" s="29" t="inlineStr">
        <is>
          <t>pytest</t>
        </is>
      </c>
      <c r="D36" s="13" t="n">
        <v>10</v>
      </c>
      <c r="E36" s="45" t="inlineStr">
        <is>
          <t>Signature, expiry, missing claims, tamper</t>
        </is>
      </c>
      <c r="F36" s="56" t="inlineStr">
        <is>
          <t>Pass</t>
        </is>
      </c>
    </row>
    <row r="37" ht="26" customHeight="1">
      <c r="A37" s="7" t="inlineStr">
        <is>
          <t>test_jwt_auth.py</t>
        </is>
      </c>
      <c r="B37" s="55" t="inlineStr">
        <is>
          <t>BarServices</t>
        </is>
      </c>
      <c r="C37" s="24" t="inlineStr">
        <is>
          <t>pytest</t>
        </is>
      </c>
      <c r="D37" s="9" t="n">
        <v>10</v>
      </c>
      <c r="E37" s="36" t="inlineStr">
        <is>
          <t>Signature, expiry, missing claims, tamper</t>
        </is>
      </c>
      <c r="F37" s="56" t="inlineStr">
        <is>
          <t>Pass</t>
        </is>
      </c>
    </row>
    <row r="38" ht="26" customHeight="1">
      <c r="A38" s="11" t="inlineStr">
        <is>
          <t>test_bind_guard.py</t>
        </is>
      </c>
      <c r="B38" s="57" t="inlineStr">
        <is>
          <t>repo root</t>
        </is>
      </c>
      <c r="C38" s="29" t="inlineStr">
        <is>
          <t>script</t>
        </is>
      </c>
      <c r="D38" s="13" t="n">
        <v>41</v>
      </c>
      <c r="E38" s="45" t="inlineStr">
        <is>
          <t>Every non-gateway service refuses a public bind</t>
        </is>
      </c>
      <c r="F38" s="56" t="inlineStr">
        <is>
          <t>Pass</t>
        </is>
      </c>
    </row>
    <row r="39" ht="26" customHeight="1">
      <c r="A39" s="7" t="inlineStr">
        <is>
          <t>test_spa_fallback.py</t>
        </is>
      </c>
      <c r="B39" s="55" t="inlineStr">
        <is>
          <t>repo root</t>
        </is>
      </c>
      <c r="C39" s="24" t="inlineStr">
        <is>
          <t>script</t>
        </is>
      </c>
      <c r="D39" s="9" t="n">
        <v>21</v>
      </c>
      <c r="E39" s="36" t="inlineStr">
        <is>
          <t>Routes get the SPA shell; missing assets are a real 404</t>
        </is>
      </c>
      <c r="F39" s="56" t="inlineStr">
        <is>
          <t>Pass</t>
        </is>
      </c>
    </row>
    <row r="40" ht="26" customHeight="1">
      <c r="A40" s="11" t="inlineStr">
        <is>
          <t>install_bind_guard.py</t>
        </is>
      </c>
      <c r="B40" s="57" t="inlineStr">
        <is>
          <t>repo root</t>
        </is>
      </c>
      <c r="C40" s="29" t="inlineStr">
        <is>
          <t>script</t>
        </is>
      </c>
      <c r="D40" s="13" t="n">
        <v>5</v>
      </c>
      <c r="E40" s="45" t="inlineStr">
        <is>
          <t>Invariant: all 5 services still carry the bind guard</t>
        </is>
      </c>
      <c r="F40" s="56" t="inlineStr">
        <is>
          <t>Pass</t>
        </is>
      </c>
    </row>
    <row r="41" ht="26" customHeight="1">
      <c r="A41" s="7" t="inlineStr">
        <is>
          <t>remove_frozen_dates.py</t>
        </is>
      </c>
      <c r="B41" s="55" t="inlineStr">
        <is>
          <t>repo root</t>
        </is>
      </c>
      <c r="C41" s="24" t="inlineStr">
        <is>
          <t>script</t>
        </is>
      </c>
      <c r="D41" s="9" t="n">
        <v>6</v>
      </c>
      <c r="E41" s="36" t="inlineStr">
        <is>
          <t>Invariant: no import-time date constant remains</t>
        </is>
      </c>
      <c r="F41" s="56" t="inlineStr">
        <is>
          <t>Pass</t>
        </is>
      </c>
    </row>
    <row r="43">
      <c r="A43" s="16" t="inlineStr">
        <is>
          <t>TOTALS</t>
        </is>
      </c>
      <c r="B43" s="18">
        <f>COUNTA(A5:A41)&amp;' suites'</f>
        <v/>
      </c>
      <c r="C43" s="58">
        <f>COUNTIF(C5:C41,"pytest")&amp;'+'&amp;COUNTIF(C5:C41,"script")</f>
        <v/>
      </c>
      <c r="D43" s="18">
        <f>SUM(D5:D41)</f>
        <v/>
      </c>
      <c r="E43" s="59">
        <f>SUMPRODUCT((C5:C41="pytest")*D5:D41)&amp;" pytest assertions + "&amp;SUMPRODUCT((C5:C41="script")*D5:D41)&amp;" script checks. Identical under ROUTE_POLICY_MODE=audit and enforce."</f>
        <v/>
      </c>
      <c r="F43" s="18">
        <f>COUNTIF(F5:F41,"FAIL")&amp;" failed"</f>
        <v/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2026-10-16T13:28:25Z</dcterms:created>
  <dcterms:modified xsi:type="dcterms:W3CDTF">2026-10-16T13:28:25Z</dcterms:modified>
</cp:coreProperties>
</file>